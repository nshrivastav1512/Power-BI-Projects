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hri\Downloads\"/>
    </mc:Choice>
  </mc:AlternateContent>
  <xr:revisionPtr revIDLastSave="0" documentId="13_ncr:1_{1BEFD7A1-41E1-4172-B6D0-E0144CD76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 Data Order Clearned" sheetId="5" r:id="rId1"/>
    <sheet name="Client Data Order" sheetId="1" r:id="rId2"/>
    <sheet name="Mesh" sheetId="4" r:id="rId3"/>
    <sheet name="Summary &amp;  Questions" sheetId="2" r:id="rId4"/>
    <sheet name="3D Order" sheetId="3" r:id="rId5"/>
  </sheets>
  <definedNames>
    <definedName name="_xlnm._FilterDatabase" localSheetId="1" hidden="1">'Client Data Order'!$A$1:$AB$1</definedName>
    <definedName name="_xlnm._FilterDatabase" localSheetId="0" hidden="1">'Client Data Order Clearned'!$A$1:$AB$1</definedName>
    <definedName name="_xlnm._FilterDatabase" localSheetId="2" hidden="1">Mesh!$A$1:$C$33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3" i="5" l="1"/>
  <c r="AA33" i="5"/>
  <c r="A33" i="5"/>
  <c r="AC32" i="5"/>
  <c r="AA32" i="5"/>
  <c r="A32" i="5"/>
  <c r="AC31" i="5"/>
  <c r="AA31" i="5"/>
  <c r="A31" i="5"/>
  <c r="AC30" i="5"/>
  <c r="AA30" i="5"/>
  <c r="A30" i="5"/>
  <c r="AC29" i="5"/>
  <c r="AA29" i="5"/>
  <c r="A29" i="5"/>
  <c r="AC28" i="5"/>
  <c r="AA28" i="5"/>
  <c r="A28" i="5"/>
  <c r="AC27" i="5"/>
  <c r="AA27" i="5"/>
  <c r="A27" i="5"/>
  <c r="AC26" i="5"/>
  <c r="AA26" i="5"/>
  <c r="A26" i="5"/>
  <c r="AC25" i="5"/>
  <c r="AA25" i="5"/>
  <c r="A25" i="5"/>
  <c r="AC24" i="5"/>
  <c r="AA24" i="5"/>
  <c r="A24" i="5"/>
  <c r="AC23" i="5"/>
  <c r="AA23" i="5"/>
  <c r="A23" i="5"/>
  <c r="AC22" i="5"/>
  <c r="AA22" i="5"/>
  <c r="A22" i="5"/>
  <c r="AC21" i="5"/>
  <c r="AA21" i="5"/>
  <c r="A21" i="5"/>
  <c r="AC20" i="5"/>
  <c r="AA20" i="5"/>
  <c r="A20" i="5"/>
  <c r="AC19" i="5"/>
  <c r="AA19" i="5"/>
  <c r="A19" i="5"/>
  <c r="AC18" i="5"/>
  <c r="AA18" i="5"/>
  <c r="A18" i="5"/>
  <c r="AC17" i="5"/>
  <c r="AA17" i="5"/>
  <c r="A17" i="5"/>
  <c r="AC16" i="5"/>
  <c r="AA16" i="5"/>
  <c r="A16" i="5"/>
  <c r="AC15" i="5"/>
  <c r="AA15" i="5"/>
  <c r="A15" i="5"/>
  <c r="AC14" i="5"/>
  <c r="AA14" i="5"/>
  <c r="A14" i="5"/>
  <c r="AC13" i="5"/>
  <c r="AA13" i="5"/>
  <c r="A13" i="5"/>
  <c r="AC12" i="5"/>
  <c r="AA12" i="5"/>
  <c r="A12" i="5"/>
  <c r="AC11" i="5"/>
  <c r="AA11" i="5"/>
  <c r="A11" i="5"/>
  <c r="AC10" i="5"/>
  <c r="AA10" i="5"/>
  <c r="A10" i="5"/>
  <c r="AC9" i="5"/>
  <c r="AA9" i="5"/>
  <c r="A9" i="5"/>
  <c r="AC8" i="5"/>
  <c r="AA8" i="5"/>
  <c r="A8" i="5"/>
  <c r="AC7" i="5"/>
  <c r="AA7" i="5"/>
  <c r="A7" i="5"/>
  <c r="AC6" i="5"/>
  <c r="AA6" i="5"/>
  <c r="A6" i="5"/>
  <c r="AC5" i="5"/>
  <c r="AA5" i="5"/>
  <c r="A5" i="5"/>
  <c r="AC4" i="5"/>
  <c r="AA4" i="5"/>
  <c r="A4" i="5"/>
  <c r="AC3" i="5"/>
  <c r="AA3" i="5"/>
  <c r="A3" i="5"/>
  <c r="AC2" i="5"/>
  <c r="AA2" i="5"/>
  <c r="A2" i="5"/>
  <c r="A1" i="4" a="1"/>
  <c r="A1" i="4" s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2" i="1"/>
  <c r="AA2" i="1"/>
  <c r="AA15" i="1"/>
  <c r="AA18" i="1"/>
  <c r="AA17" i="1"/>
  <c r="AA16" i="1"/>
  <c r="AA21" i="1"/>
  <c r="AA20" i="1"/>
  <c r="AA19" i="1"/>
  <c r="AA22" i="1"/>
  <c r="AA24" i="1"/>
  <c r="AA23" i="1"/>
  <c r="AA27" i="1"/>
  <c r="AA28" i="1"/>
  <c r="AA29" i="1"/>
  <c r="AA31" i="1"/>
  <c r="AA30" i="1"/>
  <c r="AA32" i="1"/>
  <c r="AA33" i="1"/>
  <c r="AA25" i="1"/>
  <c r="AA26" i="1"/>
  <c r="AA7" i="1"/>
  <c r="AA8" i="1"/>
  <c r="AA10" i="1"/>
  <c r="AA9" i="1"/>
  <c r="AA11" i="1"/>
  <c r="AA12" i="1"/>
  <c r="AA14" i="1"/>
  <c r="AA13" i="1"/>
  <c r="AA4" i="1"/>
  <c r="AA5" i="1"/>
  <c r="AA6" i="1"/>
  <c r="AA3" i="1"/>
  <c r="A6" i="1"/>
  <c r="A5" i="1"/>
  <c r="A4" i="1"/>
  <c r="A13" i="1"/>
  <c r="A14" i="1"/>
  <c r="A12" i="1"/>
  <c r="A11" i="1"/>
  <c r="A9" i="1"/>
  <c r="A10" i="1"/>
  <c r="A8" i="1"/>
  <c r="A7" i="1"/>
  <c r="A26" i="1"/>
  <c r="A25" i="1"/>
  <c r="A33" i="1"/>
  <c r="A32" i="1"/>
  <c r="A30" i="1"/>
  <c r="A31" i="1"/>
  <c r="A29" i="1"/>
  <c r="A28" i="1"/>
  <c r="A27" i="1"/>
  <c r="A23" i="1"/>
  <c r="A24" i="1"/>
  <c r="A22" i="1"/>
  <c r="A19" i="1"/>
  <c r="A20" i="1"/>
  <c r="A21" i="1"/>
  <c r="A16" i="1"/>
  <c r="A17" i="1"/>
  <c r="A18" i="1"/>
  <c r="A15" i="1"/>
  <c r="A2" i="1"/>
  <c r="A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<sst xmlns="http://schemas.openxmlformats.org/spreadsheetml/2006/main" count="1176" uniqueCount="317">
  <si>
    <t>thumbnail</t>
  </si>
  <si>
    <t>SKU</t>
  </si>
  <si>
    <t>Display Name</t>
  </si>
  <si>
    <t>Style Name</t>
  </si>
  <si>
    <t>Brand</t>
  </si>
  <si>
    <t>People</t>
  </si>
  <si>
    <t>PDP Dimensions</t>
  </si>
  <si>
    <t>DWR PDP URL</t>
  </si>
  <si>
    <t>Hero Image URLs (comma separated)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</si>
  <si>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</si>
  <si>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</si>
  <si>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</si>
  <si>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</si>
  <si>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</si>
  <si>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</si>
  <si>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</si>
  <si>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</si>
  <si>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</si>
  <si>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Web Collection (from Style Code)</t>
  </si>
  <si>
    <t>DWR Primary Category Name</t>
  </si>
  <si>
    <t>Vendor SKU</t>
  </si>
  <si>
    <t>DWR Swatch Original Res</t>
  </si>
  <si>
    <t>HM Swatch Original Res</t>
  </si>
  <si>
    <t>HM Swatches</t>
  </si>
  <si>
    <t>department</t>
  </si>
  <si>
    <t>Launch Date</t>
  </si>
  <si>
    <t>111 Navy Chair - Side Chair, Bordeaux</t>
  </si>
  <si>
    <t>111 Navy Chair</t>
  </si>
  <si>
    <t>Emeco</t>
  </si>
  <si>
    <t>34" H 15½" W 19½" D</t>
  </si>
  <si>
    <t>https://www.dwr.com/100596557.html</t>
  </si>
  <si>
    <t>https://images.hermanmiller.group/m/c08be6ee672d709/W-DWR_3773_100596557_bordeaux_f.png?trim=auto&amp;trim-sd=1&amp;blend-mode=darken&amp;blend=f8f8f8&amp;bg=f8f8f8&amp;auto=format&amp;w=2400&amp;q=100&amp;h=2400,https://images.hermanmiller.group/m/5687626852d66cf/W-DWR_3773_100596557_bordeaux_a.png?trim=auto&amp;trim-sd=1&amp;blend-mode=darken&amp;blend=f8f8f8&amp;bg=f8f8f8&amp;auto=format&amp;w=2400&amp;q=100&amp;h=2400,https://images.hermanmiller.group/m/1ed3fc52ddf52fa9/W-DWR_3773_100596557_bordeaux_b.png?trim=auto&amp;trim-sd=1&amp;blend-mode=darken&amp;blend=f8f8f8&amp;bg=f8f8f8&amp;auto=format&amp;w=2400&amp;q=100&amp;h=2400</t>
  </si>
  <si>
    <t>Configuration</t>
  </si>
  <si>
    <t>Side Chair</t>
  </si>
  <si>
    <t>Color</t>
  </si>
  <si>
    <t>Bordeaux</t>
  </si>
  <si>
    <t>Navy Seating Collection</t>
  </si>
  <si>
    <t>Dining Chairs + Benches</t>
  </si>
  <si>
    <t>111 BORDEAUX</t>
  </si>
  <si>
    <t>https://images.hermanmiller.group/m/1b04cb5cd699f245/W-sw_knoll_iseo_bordeaux.png</t>
  </si>
  <si>
    <t>SEATING &amp; DINING</t>
  </si>
  <si>
    <t>111 Navy Chair - Side Chair, Cypress Green</t>
  </si>
  <si>
    <t>https://www.dwr.com/100596554.html</t>
  </si>
  <si>
    <t>https://images.hermanmiller.group/m/5541f3cb7f4a09b9/W-DWR_3773_100596554_cypress_green_f.png?trim=auto&amp;trim-sd=1&amp;blend-mode=darken&amp;blend=f8f8f8&amp;bg=f8f8f8&amp;auto=format&amp;w=2400&amp;q=100&amp;h=2400,https://images.hermanmiller.group/m/17aa88738929f830/W-DWR_3773_100596554_cypress_green_a.png?trim=auto&amp;trim-sd=1&amp;blend-mode=darken&amp;blend=f8f8f8&amp;bg=f8f8f8&amp;auto=format&amp;w=2400&amp;q=100&amp;h=2400</t>
  </si>
  <si>
    <t>Cypress Green</t>
  </si>
  <si>
    <t>111 CYPRESS GREEN</t>
  </si>
  <si>
    <t>https://images.hermanmiller.group/m/33662a910125ad55/W-COLOR_cypress_green.png</t>
  </si>
  <si>
    <t>Bronze Star - 7"</t>
  </si>
  <si>
    <t>Foldable Star Sculptures</t>
  </si>
  <si>
    <t>KOSTICKS</t>
  </si>
  <si>
    <t>John Kostick</t>
  </si>
  <si>
    <t>7" DIA</t>
  </si>
  <si>
    <t>https://www.dwr.com/655422.html</t>
  </si>
  <si>
    <t>https://images.hermanmiller.group/m/24f21fe118703fc3/W-DWR_3845_655422_bronze_f_v4.png?trim=auto&amp;trim-sd=1&amp;blend-mode=darken&amp;blend=f8f8f8&amp;bg=f8f8f8&amp;auto=format&amp;w=2400&amp;q=100&amp;h=2400</t>
  </si>
  <si>
    <t>Size</t>
  </si>
  <si>
    <t>7"</t>
  </si>
  <si>
    <t>Living Room Decor + Accessories</t>
  </si>
  <si>
    <t>4XB7.0</t>
  </si>
  <si>
    <t>ACCESSORIES</t>
  </si>
  <si>
    <t>Kink Vase - Large, Sand</t>
  </si>
  <si>
    <t>Kink Vase</t>
  </si>
  <si>
    <t>Muuto</t>
  </si>
  <si>
    <t>Earnest Studio</t>
  </si>
  <si>
    <t>15⅜" H 15¾" W 7½" DIA</t>
  </si>
  <si>
    <t>https://www.dwr.com/100658330.html</t>
  </si>
  <si>
    <t>https://images.hermanmiller.group/m/b0e0441bf31edaf9/W-MTO_kink_vase_39_sand_f-tif.png?trim=auto&amp;trim-sd=1&amp;blend-mode=darken&amp;blend=f8f8f8&amp;bg=f8f8f8&amp;auto=format&amp;w=2400&amp;q=100&amp;h=2400,https://images.hermanmiller.group/m/3a99261ca223af9f/W-MTO_kink_vase_39_sand_a-tif.png?trim=auto&amp;trim-sd=1&amp;blend-mode=darken&amp;blend=f8f8f8&amp;bg=f8f8f8&amp;auto=format&amp;w=2400&amp;q=100&amp;h=2400</t>
  </si>
  <si>
    <t>Large</t>
  </si>
  <si>
    <t>Sand</t>
  </si>
  <si>
    <t>Vases</t>
  </si>
  <si>
    <t>MKINVS15,SAND</t>
  </si>
  <si>
    <t>https://images.hermanmiller.group/m/173d3295839e5744/W-8439_COLOR_sand.png</t>
  </si>
  <si>
    <t>|color||sand| - m/173d3295839e5744/W-8439_COLOR_sand.png</t>
  </si>
  <si>
    <t>Kink Vase - Standard, Deep Red</t>
  </si>
  <si>
    <t>https://www.dwr.com/100658328.html</t>
  </si>
  <si>
    <t>https://images.hermanmiller.group/asset/e9ee858f-1ae1-4073-867a-8e02bf991e7e/W/MTO_Kink_vase_26_deep_red_muuto_hi_res-tif.png?trim=auto&amp;trim-sd=1&amp;blend-mode=darken&amp;blend=f8f8f8&amp;bg=f8f8f8&amp;auto=format&amp;w=2400&amp;q=100&amp;h=2400</t>
  </si>
  <si>
    <t>Standard</t>
  </si>
  <si>
    <t>Deep Red</t>
  </si>
  <si>
    <t>MKINVS,DPRD</t>
  </si>
  <si>
    <t>https://images.hermanmiller.group/m/296b847dd49fe7f1/W-sw_muuto_deep-red_color_swatch.png</t>
  </si>
  <si>
    <t>Kink Vase - Standard, Sand</t>
  </si>
  <si>
    <t>10⅜" H 10⅞" W 5" DIA</t>
  </si>
  <si>
    <t>https://www.dwr.com/100177257.html</t>
  </si>
  <si>
    <t>https://images.hermanmiller.group/m/dc80b56311cfb48a/W-MTO_2518291_100177257_sand_f.png?trim=auto&amp;trim-sd=1&amp;blend-mode=darken&amp;blend=f8f8f8&amp;bg=f8f8f8&amp;auto=format&amp;w=2400&amp;q=100&amp;h=2400,https://images.hermanmiller.group/m/9b55acb44cc3c7f7/W-MTO_2518291_100177257_sand_a.png?trim=auto&amp;trim-sd=1&amp;blend-mode=darken&amp;blend=f8f8f8&amp;bg=f8f8f8&amp;auto=format&amp;w=2400&amp;q=100&amp;h=2400</t>
  </si>
  <si>
    <t>MKINVS,SAND</t>
  </si>
  <si>
    <t>Mode Pillow - 12x22", Oblong, Lioness Rust</t>
  </si>
  <si>
    <t>Mode Pillow</t>
  </si>
  <si>
    <t>Design Within Reach</t>
  </si>
  <si>
    <t>12" H 22" W 5" D</t>
  </si>
  <si>
    <t>https://images.hermanmiller.group/m/0ecccd612804f38a/W-DWR_2555542_100538043_lioness_rust_f.png?trim=auto&amp;trim-sd=1&amp;blend-mode=darken&amp;blend=f8f8f8&amp;bg=f8f8f8&amp;auto=format&amp;w=2400&amp;q=100&amp;h=2400,https://images.hermanmiller.group/m/cbab7bd0dd5ac09f/W-DWR_2555542_100538043_lioness_rust_b.png?trim=auto&amp;trim-sd=1&amp;blend-mode=darken&amp;blend=f8f8f8&amp;bg=f8f8f8&amp;auto=format&amp;w=2400&amp;q=100&amp;h=2400</t>
  </si>
  <si>
    <t>Lioness Rust</t>
  </si>
  <si>
    <t>12x22"</t>
  </si>
  <si>
    <t>DWR Pillow Collection</t>
  </si>
  <si>
    <t>Pillows</t>
  </si>
  <si>
    <t>https://images.hermanmiller.group/m/56d878e3152de1ed/W-sw_mode_lioness_rust.png</t>
  </si>
  <si>
    <t>Mode Pillow - 12x22", Oblong, Saltwater Jetty</t>
  </si>
  <si>
    <t>https://images.hermanmiller.group/m/ee96bca4594e25e1/W-DWR_2555542_100538042_saltwater_eucalyptus_f.png?trim=auto&amp;trim-sd=1&amp;blend-mode=darken&amp;blend=f8f8f8&amp;bg=f8f8f8&amp;auto=format&amp;w=2400&amp;q=100&amp;h=2400,https://images.hermanmiller.group/m/a34aaf70bf2bd566/W-DWR_2555542_100538042_saltwater_eucalyptus_b.png?trim=auto&amp;trim-sd=1&amp;blend-mode=darken&amp;blend=f8f8f8&amp;bg=f8f8f8&amp;auto=format&amp;w=2400&amp;q=100&amp;h=2400</t>
  </si>
  <si>
    <t>Saltwater Jetty</t>
  </si>
  <si>
    <t>https://images.hermanmiller.group/m/5e978bf5e57db663/W-sw_mode_saltwater_jetty.png</t>
  </si>
  <si>
    <t>Mode Pillow - 18x18", Square, Saltwater Jetty</t>
  </si>
  <si>
    <t>https://images.hermanmiller.group/m/af48e49dda7b62a0/W-DWR_2555542_100538036_saltwater_eucalyptus_f.png?trim=auto&amp;trim-sd=1&amp;blend-mode=darken&amp;blend=f8f8f8&amp;bg=f8f8f8&amp;auto=format&amp;w=2400&amp;q=100&amp;h=2400,https://images.hermanmiller.group/m/d57874c0ab920d8e/W-DWR_2555542_100538036_saltwater_eucalyptus_b.png?trim=auto&amp;trim-sd=1&amp;blend-mode=darken&amp;blend=f8f8f8&amp;bg=f8f8f8&amp;auto=format&amp;w=2400&amp;q=100&amp;h=2400</t>
  </si>
  <si>
    <t>18x18"</t>
  </si>
  <si>
    <t>Mode Pillow - 20x20", Square, Lioness Rust</t>
  </si>
  <si>
    <t>20" H 20" W 5" D</t>
  </si>
  <si>
    <t>https://www.dwr.com/100538040.html</t>
  </si>
  <si>
    <t>https://images.hermanmiller.group/m/52b7d81d68bcea54/W-DWR_2555542_100538037_lioness_rust_f.png?trim=auto&amp;trim-sd=1&amp;blend-mode=darken&amp;blend=f8f8f8&amp;bg=f8f8f8&amp;auto=format&amp;w=2400&amp;q=100&amp;h=2400,https://images.hermanmiller.group/m/97a874afda34b955/W-DWR_2555542_100538037_lioness_rust_b.png?trim=auto&amp;trim-sd=1&amp;blend-mode=darken&amp;blend=f8f8f8&amp;bg=f8f8f8&amp;auto=format&amp;w=2400&amp;q=100&amp;h=2400</t>
  </si>
  <si>
    <t>20x20"</t>
  </si>
  <si>
    <t>Plush Extension Dining Table - Oak</t>
  </si>
  <si>
    <t>Plush Extension Dining Table</t>
  </si>
  <si>
    <t>dk3</t>
  </si>
  <si>
    <t>Jacob Plejdrup</t>
  </si>
  <si>
    <t>28⅜" H 94½" W 55⅛" DIA</t>
  </si>
  <si>
    <t>https://www.dwr.com/100642343.html</t>
  </si>
  <si>
    <t>https://images.hermanmiller.group/asset/b67ee476-2c8e-4aee-a6ca-0621b40c8326/W/DWR_2589120_100642343_oak_f.png?trim=auto&amp;trim-sd=1&amp;blend-mode=darken&amp;blend=f8f8f8&amp;bg=f8f8f8&amp;auto=format&amp;w=2400&amp;q=100&amp;h=2400,https://images.hermanmiller.group/asset/c73bc35e-4a9b-469e-9883-a9786d3f9aa6/W/DWR_2589120_100642343_oak_f.png?trim=auto&amp;trim-sd=1&amp;blend-mode=darken&amp;blend=f8f8f8&amp;bg=f8f8f8&amp;auto=format&amp;w=2400&amp;q=100&amp;h=2400,https://images.hermanmiller.group/asset/fe765ab8-6ee9-481d-b47a-f2c7455e9387/W/DWR_2589120_100642343_oak_a.png?trim=auto&amp;trim-sd=1&amp;blend-mode=darken&amp;blend=f8f8f8&amp;bg=f8f8f8&amp;auto=format&amp;w=2400&amp;q=100&amp;h=2400,https://images.hermanmiller.group/asset/89722cce-f5a5-4b15-8fc0-02800a342345/W/DWR_2589120_100642343_oak_d4.png?trim=auto&amp;trim-sd=1&amp;blend-mode=darken&amp;blend=f8f8f8&amp;bg=f8f8f8&amp;auto=format&amp;w=2400&amp;q=100&amp;h=2400,https://images.hermanmiller.group/asset/c7c3edc2-9cae-4a32-96e4-9cef1ab5c658/W/DWR_2589120_100642343_oak_d5.png?trim=auto&amp;trim-sd=1&amp;blend-mode=darken&amp;blend=f8f8f8&amp;bg=f8f8f8&amp;auto=format&amp;w=2400&amp;q=100&amp;h=2400,https://images.hermanmiller.group/asset/b07ff21b-2b4c-4c0f-82ba-ae1dc42e5571/W/DWR_2589120_100642343_oak_d3.png?trim=auto&amp;trim-sd=1&amp;blend-mode=darken&amp;blend=f8f8f8&amp;bg=f8f8f8&amp;auto=format&amp;w=2400&amp;q=100&amp;h=2400,https://images.hermanmiller.group/asset/e0273234-44d1-4e40-bdeb-ad9afcb05d0f/W/DWR_2589120_100642343_oak_d2.png?trim=auto&amp;trim-sd=1&amp;blend-mode=darken&amp;blend=f8f8f8&amp;bg=f8f8f8&amp;auto=format&amp;w=2400&amp;q=100&amp;h=2400,https://images.hermanmiller.group/asset/7d37cced-824a-44e3-a2aa-32d6a8dedb11/W/DWR_2589120_100642343_oak_d6.png?trim=auto&amp;trim-sd=1&amp;blend-mode=darken&amp;blend=f8f8f8&amp;bg=f8f8f8&amp;auto=format&amp;w=2400&amp;q=100&amp;h=2400</t>
  </si>
  <si>
    <t>Finish</t>
  </si>
  <si>
    <t>Oak</t>
  </si>
  <si>
    <t>Dining Tables</t>
  </si>
  <si>
    <t>https://images.hermanmiller.group/m/1ac2f579d3d7dce1/W-sw_generic_oak.png</t>
  </si>
  <si>
    <t>Plush Extension Dining Table - Walnut</t>
  </si>
  <si>
    <t>https://www.dwr.com/100642342.html</t>
  </si>
  <si>
    <t>https://images.hermanmiller.group/asset/8a96c80e-4caa-40de-bdf3-31dd9694aa1d/W/DWR_2589120_100642342_walnut_f.png?trim=auto&amp;trim-sd=1&amp;blend-mode=darken&amp;blend=f8f8f8&amp;bg=f8f8f8&amp;auto=format&amp;w=2400&amp;q=100&amp;h=2400,https://images.hermanmiller.group/asset/bf31519d-dec2-42b7-b495-9bc88af46a60/W/DWR_2589120_100642342_walnut_f.png?trim=auto&amp;trim-sd=1&amp;blend-mode=darken&amp;blend=f8f8f8&amp;bg=f8f8f8&amp;auto=format&amp;w=2400&amp;q=100&amp;h=2400,https://images.hermanmiller.group/asset/74f6894f-4efe-4de7-a2b1-8bc5df400ab4/W/DWR_2589120_100642342_walnut_a.png?trim=auto&amp;trim-sd=1&amp;blend-mode=darken&amp;blend=f8f8f8&amp;bg=f8f8f8&amp;auto=format&amp;w=2400&amp;q=100&amp;h=2400,https://images.hermanmiller.group/asset/d50fddbd-ebbe-4f94-97af-6e6de7a7f479/W/DWR_2589120_100642342_walnut_d4.png?trim=auto&amp;trim-sd=1&amp;blend-mode=darken&amp;blend=f8f8f8&amp;bg=f8f8f8&amp;auto=format&amp;w=2400&amp;q=100&amp;h=2400,https://images.hermanmiller.group/asset/2136b14e-6b8b-46ce-a532-577e723d3bb8/W/DWR_2589120_100642342_walnut_d5.png?trim=auto&amp;trim-sd=1&amp;blend-mode=darken&amp;blend=f8f8f8&amp;bg=f8f8f8&amp;auto=format&amp;w=2400&amp;q=100&amp;h=2400,https://images.hermanmiller.group/asset/8899d274-3f74-4f41-af93-a9ef5ddf3af3/W/DWR_2589120_100642342_walnut_d2.png?trim=auto&amp;trim-sd=1&amp;blend-mode=darken&amp;blend=f8f8f8&amp;bg=f8f8f8&amp;auto=format&amp;w=2400&amp;q=100&amp;h=2400,https://images.hermanmiller.group/asset/907ab5ea-c304-4e19-829d-6bdbc9ea7818/W/DWR_2589120_100642342_walnut_d3.png?trim=auto&amp;trim-sd=1&amp;blend-mode=darken&amp;blend=f8f8f8&amp;bg=f8f8f8&amp;auto=format&amp;w=2400&amp;q=100&amp;h=2400,https://images.hermanmiller.group/asset/a68e6e22-5da6-4525-9d62-3018e9e0553d/W/DWR_2589120_100642342_walnut_d.png?trim=auto&amp;trim-sd=1&amp;blend-mode=darken&amp;blend=f8f8f8&amp;bg=f8f8f8&amp;auto=format&amp;w=2400&amp;q=100&amp;h=2400</t>
  </si>
  <si>
    <t>Walnut</t>
  </si>
  <si>
    <t>https://images.hermanmiller.group/m/32515d299e7068bf/W-W-sw_generic_walnut.png</t>
  </si>
  <si>
    <t>Sheepskin Throw - Quad, Light Grey</t>
  </si>
  <si>
    <t>Sheepskin Throw</t>
  </si>
  <si>
    <t>Jørgen Rasmussen</t>
  </si>
  <si>
    <t>2" H 41" W 82" D</t>
  </si>
  <si>
    <t>https://www.dwr.com/100168671.html</t>
  </si>
  <si>
    <t>https://images.hermanmiller.group/m/acbce1982889e42f/W-DWR_2516240_100168671_light_grey_f.png?trim=auto&amp;trim-sd=1&amp;blend-mode=darken&amp;blend=f8f8f8&amp;bg=f8f8f8&amp;auto=format&amp;w=2400&amp;q=100&amp;h=2400</t>
  </si>
  <si>
    <t>Quadrat</t>
  </si>
  <si>
    <t>Light Grey</t>
  </si>
  <si>
    <t>Throw Blankets</t>
  </si>
  <si>
    <t>210x105cm quad sheepskin in light grey</t>
  </si>
  <si>
    <t>https://images.hermanmiller.group/m/52e3b6686cc746f5/W-sw_knoll_iseo_light-grey.png</t>
  </si>
  <si>
    <t>https://images.hermanmiller.group/m/1744a6757a8da458/W-sw_fritz_hansen_colored_ash_light_grey.png</t>
  </si>
  <si>
    <t>|color||light_grey| - m/1744a6757a8da458/W-sw_fritz_hansen_colored_ash_light_grey.png</t>
  </si>
  <si>
    <t>Uchiwa Ottoman - Divina 691/Remix 692 - Walnut Base</t>
  </si>
  <si>
    <t>Uchiwa Ottoman</t>
  </si>
  <si>
    <t>HAY</t>
  </si>
  <si>
    <t>Doshi Levien</t>
  </si>
  <si>
    <t>15¼" H 24" W 19¼" D</t>
  </si>
  <si>
    <t>https://www.dwr.com/100145046.html</t>
  </si>
  <si>
    <t>https://images.hermanmiller.group/m/72f3eac1bc0cd041/W-HAY_2515111_100145046_divina_691_remix_692_walnut_f.png?trim=auto&amp;trim-sd=1&amp;blend-mode=darken&amp;blend=f8f8f8&amp;bg=f8f8f8&amp;auto=format&amp;w=2400&amp;q=100&amp;h=2400,https://images.hermanmiller.group/m/e795ddb8c0b91fd9/W-HAY_2515111_100145046_divina_691_remix_692_walnut_a.png?trim=auto&amp;trim-sd=1&amp;blend-mode=darken&amp;blend=f8f8f8&amp;bg=f8f8f8&amp;auto=format&amp;w=2400&amp;q=100&amp;h=2400,https://images.hermanmiller.group/m/b92504418aa1b376/W-HAY_2515111_100145046_divina_691_remix_692_walnut_p.png?trim=auto&amp;trim-sd=1&amp;blend-mode=darken&amp;blend=f8f8f8&amp;bg=f8f8f8&amp;auto=format&amp;w=2400&amp;q=100&amp;h=2400</t>
  </si>
  <si>
    <t>Divina 691 Mauve / Remix 692 Plum</t>
  </si>
  <si>
    <t>Leg</t>
  </si>
  <si>
    <t>Uchiwa Collection</t>
  </si>
  <si>
    <t>Ottomans</t>
  </si>
  <si>
    <t>https://images.hermanmiller.group/m/7d6cd08f79cc3093/W-W-COLOR_divina_691_mauve_remix_692_plum.png https://images.hermanmiller.group/m/32515d299e7068bf/W-W-sw_generic_walnut.png</t>
  </si>
  <si>
    <t>|color||divina_691_mauve_remix_692_plum| - m/7d6cd08f79cc3093/W-W-COLOR_divina_691_mauve_remix_692_plum.png |leg||walnut| - m/32515d299e7068bf/W-W-sw_generic_walnut.png</t>
  </si>
  <si>
    <t>UPHOLSTERY</t>
  </si>
  <si>
    <t>Uchiwa Ottoman Mode Clavicle - Remix 242 Birch - Walnut</t>
  </si>
  <si>
    <t>https://www.dwr.com/100181152.html</t>
  </si>
  <si>
    <t>https://images.hermanmiller.group/m/4704d4d3bc253040/W-HAY_2515111_100181152_clavicle_birch_walnut_a.png?trim=auto&amp;trim-sd=1&amp;blend-mode=darken&amp;blend=f8f8f8&amp;bg=f8f8f8&amp;auto=format&amp;w=2400&amp;q=100&amp;h=2400</t>
  </si>
  <si>
    <t>Mode Clavicle / Remix 242 Birch</t>
  </si>
  <si>
    <t>https://images.hermanmiller.group/m/7081d14d60736670/W-SW_Mode_Clavicle_Remix_242_Birch.png https://images.hermanmiller.group/m/32515d299e7068bf/W-W-sw_generic_walnut.png</t>
  </si>
  <si>
    <t>|color||mode_clavicle_remix_242_birch| - m/7081d14d60736670/W-SW_Mode_Clavicle_Remix_242_Birch.png |leg||walnut| - m/32515d299e7068bf/W-W-sw_generic_walnut.png</t>
  </si>
  <si>
    <t>VP1 Flowerpot Pendant - Mustard</t>
  </si>
  <si>
    <t>VP1 Flowerpot Pendant</t>
  </si>
  <si>
    <t>&amp;Tradition</t>
  </si>
  <si>
    <t>Verner Panton</t>
  </si>
  <si>
    <t>6⅜" H 9⅛" W 9⅛" DIA</t>
  </si>
  <si>
    <t>https://www.dwr.com/100608414.html</t>
  </si>
  <si>
    <t>https://images.hermanmiller.group/asset/90ca8257-6cbb-414d-8c2c-e25c3f9aea84/W/DWR_2585681_100608414_mustard_f1.png?trim=auto&amp;trim-sd=1&amp;blend-mode=darken&amp;blend=f8f8f8&amp;bg=f8f8f8&amp;auto=format&amp;w=2400&amp;q=100&amp;h=2400,https://images.hermanmiller.group/asset/22461c54-e443-47b9-a102-701b49167fe2/W/DWR_2585681_100608414_mustard_f.png?trim=auto&amp;trim-sd=1&amp;blend-mode=darken&amp;blend=f8f8f8&amp;bg=f8f8f8&amp;auto=format&amp;w=2400&amp;q=100&amp;h=2400</t>
  </si>
  <si>
    <t>Mustard</t>
  </si>
  <si>
    <t>Flowerpot Collection</t>
  </si>
  <si>
    <t>Ceiling + Pendant Lamps</t>
  </si>
  <si>
    <t>AT-133082A215</t>
  </si>
  <si>
    <t>https://images.hermanmiller.group/asset/37fef664-13d2-46e3-8926-ac73ec802ce6/W/sw_ameico_mustard.png</t>
  </si>
  <si>
    <t>LIGHTING</t>
  </si>
  <si>
    <t>VP1 Flowerpot Pendant - Signal Green</t>
  </si>
  <si>
    <t>https://www.dwr.com/100608411.html</t>
  </si>
  <si>
    <t>https://images.hermanmiller.group/asset/b84baf40-5c68-427b-923f-25abca0f9116/W/DWR_2585681_100608411_signal_green_f1.png?trim=auto&amp;trim-sd=1&amp;blend-mode=darken&amp;blend=f8f8f8&amp;bg=f8f8f8&amp;auto=format&amp;w=2400&amp;q=100&amp;h=2400,https://images.hermanmiller.group/asset/27f3d383-69d3-46cf-8819-559473cbdadf/W/DWR_2585681_100608411_signal_green_f.png?trim=auto&amp;trim-sd=1&amp;blend-mode=darken&amp;blend=f8f8f8&amp;bg=f8f8f8&amp;auto=format&amp;w=2400&amp;q=100&amp;h=2400</t>
  </si>
  <si>
    <t>Signal Green</t>
  </si>
  <si>
    <t>AT-133082A205</t>
  </si>
  <si>
    <t>https://images.hermanmiller.group/asset/aeb46efd-ce33-4ebd-a966-45f79d8d0abc/W/sw_ameico_signal_green.png</t>
  </si>
  <si>
    <t>VP1 Flowerpot Pendant - Stone Blue</t>
  </si>
  <si>
    <t>https://www.dwr.com/100608415.html</t>
  </si>
  <si>
    <t>https://images.hermanmiller.group/asset/2d1f0cb7-20df-444f-a7e3-13c148242151/W/DWR_2585681_100608415_stone_blue_f.png?trim=auto&amp;trim-sd=1&amp;blend-mode=darken&amp;blend=f8f8f8&amp;bg=f8f8f8&amp;auto=format&amp;w=2400&amp;q=100&amp;h=2400</t>
  </si>
  <si>
    <t>Stone Blue</t>
  </si>
  <si>
    <t>AT-133082A208</t>
  </si>
  <si>
    <t>https://images.hermanmiller.group/asset/e6d8c3e5-db74-4f99-bd0a-32fd1ce2b3ef/W/sw_ameico_stone_blue.png</t>
  </si>
  <si>
    <t>VP1 Flowerpot Pendant - Swim Blue</t>
  </si>
  <si>
    <t>https://www.dwr.com/100608512.html</t>
  </si>
  <si>
    <t>https://images.hermanmiller.group/asset/86c7ab08-d48f-49f4-85b8-10d9bcc4ef2a/W/DWR_2585681_100608512_swim_blue_f1.png?trim=auto&amp;trim-sd=1&amp;blend-mode=darken&amp;blend=f8f8f8&amp;bg=f8f8f8&amp;auto=format&amp;w=2400&amp;q=100&amp;h=2400,https://images.hermanmiller.group/asset/f35a3ef5-c186-492f-b86d-1aee79f7a931/W/DWR_2585681_100608512_swim_blue_f.png?trim=auto&amp;trim-sd=1&amp;blend-mode=darken&amp;blend=f8f8f8&amp;bg=f8f8f8&amp;auto=format&amp;w=2400&amp;q=100&amp;h=2400</t>
  </si>
  <si>
    <t>Swim Blue</t>
  </si>
  <si>
    <t>AT-133082A179</t>
  </si>
  <si>
    <t>https://images.hermanmiller.group/asset/b8b193a3-edb1-429a-a403-dd7ea707d353/W/sw_ameico_swim_blue.png</t>
  </si>
  <si>
    <t>Sculptura Occasional Chair, Black</t>
  </si>
  <si>
    <t>Sculptura Chair</t>
  </si>
  <si>
    <t>Woodard Furniture Company</t>
  </si>
  <si>
    <t>Russell Woodard</t>
  </si>
  <si>
    <t>33" H 29¾" W 27¾" D</t>
  </si>
  <si>
    <t>https://www.dwr.com/100072864.html</t>
  </si>
  <si>
    <t>https://images.hermanmiller.group/m/e8daf7224dcc744c/W-DWR_2195841_100072864_black_f.png?trim=auto&amp;trim-sd=1&amp;blend-mode=darken&amp;blend=f8f8f8&amp;bg=f8f8f8&amp;auto=format&amp;w=2400&amp;q=100&amp;h=2400,https://images.hermanmiller.group/m/5eba0caf9552ca7b/W-DWR_2195841_100072866_red_orange_a.png?trim=auto&amp;trim-sd=1&amp;blend-mode=darken&amp;blend=f8f8f8&amp;bg=f8f8f8&amp;auto=format&amp;w=2400&amp;q=100&amp;h=2400,https://images.hermanmiller.group/m/cd749113b7b28087/W-DWR_2195841_100072864_black_a.png?trim=auto&amp;trim-sd=1&amp;blend-mode=darken&amp;blend=f8f8f8&amp;bg=f8f8f8&amp;auto=format&amp;w=2400&amp;q=100&amp;h=2400,https://images.hermanmiller.group/m/a8d0f219e4aee34b/W-DWR_2195841_100072864_black_p.png?trim=auto&amp;trim-sd=1&amp;blend-mode=darken&amp;blend=f8f8f8&amp;bg=f8f8f8&amp;auto=format&amp;w=2400&amp;q=100&amp;h=2400,https://images.hermanmiller.group/m/b27a6e3fe3d2e42c/W-DWR_2195841_100072864_black_b.png?trim=auto&amp;trim-sd=1&amp;blend-mode=darken&amp;blend=f8f8f8&amp;bg=f8f8f8&amp;auto=format&amp;w=2400&amp;q=100&amp;h=2400</t>
  </si>
  <si>
    <t>Black</t>
  </si>
  <si>
    <t>Sculptura Collection</t>
  </si>
  <si>
    <t>Outdoor Dining Chairs + Benches</t>
  </si>
  <si>
    <t>4G0010.21</t>
  </si>
  <si>
    <t>https://images.hermanmiller.group/m/64d64d767043b383/W-sw_woodard_black_metal-tif.png</t>
  </si>
  <si>
    <t>|color||black| - m/64d64d767043b383/W-sw_woodard_black_metal-tif.png</t>
  </si>
  <si>
    <t>OUTDOOR</t>
  </si>
  <si>
    <t>Sculptura Occasional Chair Cushion, White</t>
  </si>
  <si>
    <t>Sculptura Chair Cushion</t>
  </si>
  <si>
    <t>2" H 24" W 18" D</t>
  </si>
  <si>
    <t>https://www.dwr.com/100072872.html</t>
  </si>
  <si>
    <t>https://images.hermanmiller.group/m/58464bca885139c3/W-DWR_2195845_100072872_white_f1.png?trim=auto&amp;trim-sd=1&amp;blend-mode=darken&amp;blend=f8f8f8&amp;bg=f8f8f8&amp;auto=format&amp;w=2400&amp;q=100&amp;h=2400,https://images.hermanmiller.group/m/cee549818547c05c/W-DWR_2195845_100072872_white_f.png?trim=auto&amp;trim-sd=1&amp;blend-mode=darken&amp;blend=f8f8f8&amp;bg=f8f8f8&amp;auto=format&amp;w=2400&amp;q=100&amp;h=2400</t>
  </si>
  <si>
    <t>White</t>
  </si>
  <si>
    <t>Outdoor Pillows + Cushions</t>
  </si>
  <si>
    <t>4GW010.UA9</t>
  </si>
  <si>
    <t>https://images.hermanmiller.group/m/997eb4a8dbd541c0/W-sw_woodard_white_cushion-tif.png</t>
  </si>
  <si>
    <t>|color||white| - m/997eb4a8dbd541c0/W-sw_woodard_white_cushion-tif.png</t>
  </si>
  <si>
    <t>Cube Armchair - Beck, Retrospect, Oak</t>
  </si>
  <si>
    <t>Cube Armchair</t>
  </si>
  <si>
    <t>Herman Miller</t>
  </si>
  <si>
    <t>George Nelson</t>
  </si>
  <si>
    <t>27" H 33½" W 31½" D</t>
  </si>
  <si>
    <t>https://www.dwr.com/100559774.html</t>
  </si>
  <si>
    <t>https://images.hermanmiller.group/m/42e89e0d414ecdff/W-HM_2544155_100559774_retrospect_oak_f-tif.png?trim=auto&amp;trim-sd=1&amp;blend-mode=darken&amp;blend=f8f8f8&amp;bg=f8f8f8&amp;auto=format&amp;w=2400&amp;q=100&amp;h=2400</t>
  </si>
  <si>
    <t>Upholstery</t>
  </si>
  <si>
    <t>Beck</t>
  </si>
  <si>
    <t>Retrospect</t>
  </si>
  <si>
    <t>Cube Collection</t>
  </si>
  <si>
    <t>Lounge Chairs + Armchairs</t>
  </si>
  <si>
    <t>NCU1WHNZB333</t>
  </si>
  <si>
    <t>https://images.hermanmiller.group/m/4f8628d083dd81a3/W-sw_maharam_beck_033_retrospect.png https://images.hermanmiller.group/m/68d3871517d8eb26/W-sw_HM_white_oak.png</t>
  </si>
  <si>
    <t>https://images.hermanmiller.group/m/68d3871517d8eb26/W-sw_HM_white_oak.png https://images.hermanmiller.group/m/4f8628d083dd81a3/W-sw_maharam_beck_033_retrospect.png</t>
  </si>
  <si>
    <t>|upholstery||beck||color||retrospect| - m/4f8628d083dd81a3/W-sw_maharam_beck_033_retrospect.png |color||retrospect| - m/4f8628d083dd81a3/W-sw_maharam_beck_033_retrospect.png |leg||oak| - m/68d3871517d8eb26/W-sw_HM_white_oak.png</t>
  </si>
  <si>
    <t>Cube Armchair - Beck, Retrospect, Walnut</t>
  </si>
  <si>
    <t>https://www.dwr.com/100559775.html</t>
  </si>
  <si>
    <t>https://images.hermanmiller.group/m/7ed6c0783088d4bc/W-HM_2544155_100559775_retrospect_walnut_f-tif.png?trim=auto&amp;trim-sd=1&amp;blend-mode=darken&amp;blend=f8f8f8&amp;bg=f8f8f8&amp;auto=format&amp;w=2400&amp;q=100&amp;h=2400</t>
  </si>
  <si>
    <t>NCU1OUZB333</t>
  </si>
  <si>
    <t>https://images.hermanmiller.group/m/4f8628d083dd81a3/W-sw_maharam_beck_033_retrospect.png https://images.hermanmiller.group/m/35da0f08ea0e6d42/W-sw_HM_wood_walnut_veneer_OU.png</t>
  </si>
  <si>
    <t>https://images.hermanmiller.group/m/35da0f08ea0e6d42/W-sw_HM_wood_walnut_veneer_OU.png https://images.hermanmiller.group/m/4f8628d083dd81a3/W-sw_maharam_beck_033_retrospect.png</t>
  </si>
  <si>
    <t>|upholstery||beck||color||retrospect| - m/4f8628d083dd81a3/W-sw_maharam_beck_033_retrospect.png |color||retrospect| - m/4f8628d083dd81a3/W-sw_maharam_beck_033_retrospect.png |leg||walnut| - m/35da0f08ea0e6d42/W-sw_HM_wood_walnut_veneer_OU.png</t>
  </si>
  <si>
    <t>Cube Armchair - Epingle Stripe, Caramel, Oak</t>
  </si>
  <si>
    <t>https://www.dwr.com/100673417.html</t>
  </si>
  <si>
    <t>https://images.hermanmiller.group/asset/4c097738-dd7c-4440-b5ff-b600335e169b/W/DWR_2544155_100673417_epingle_stripe_caramel_oak_f.png?trim=auto&amp;trim-sd=1&amp;blend-mode=darken&amp;blend=f8f8f8&amp;bg=f8f8f8&amp;auto=format&amp;w=2400&amp;q=100&amp;h=2400,https://images.hermanmiller.group/asset/2683c102-f481-4edf-aa80-8f58710487f1/W/DWR_2544155_100673417_epingle_stripe_caramel_oak_a.png?trim=auto&amp;trim-sd=1&amp;blend-mode=darken&amp;blend=f8f8f8&amp;bg=f8f8f8&amp;auto=format&amp;w=2400&amp;q=100&amp;h=2400,https://images.hermanmiller.group/asset/268b65d8-f457-4d0f-8825-122477d0c6d3/W/DWR_2544155_100673417_epingle_stripe_caramel_oak_p.png?trim=auto&amp;trim-sd=1&amp;blend-mode=darken&amp;blend=f8f8f8&amp;bg=f8f8f8&amp;auto=format&amp;w=2400&amp;q=100&amp;h=2400,https://images.hermanmiller.group/asset/13667d67-0b5f-41fe-be4c-05912592a821/W/DWR_2544155_100673417_epingle_stripe_caramel_oak_b.png?trim=auto&amp;trim-sd=1&amp;blend-mode=darken&amp;blend=f8f8f8&amp;bg=f8f8f8&amp;auto=format&amp;w=2400&amp;q=100&amp;h=2400,https://images.hermanmiller.group/asset/21bd65b2-54a2-4b9c-9240-4450cb9d785e/W/DWR_2544155_100673417_epingle_stripe_caramel_oak_d.png?trim=auto&amp;trim-sd=1&amp;blend-mode=darken&amp;blend=f8f8f8&amp;bg=f8f8f8&amp;auto=format&amp;w=2400&amp;q=100&amp;h=2400</t>
  </si>
  <si>
    <t>Epingle Stripe</t>
  </si>
  <si>
    <t>Caramel</t>
  </si>
  <si>
    <t>https://images.hermanmiller.group/m/68d3871517d8eb26/W-sw_HM_white_oak.png https://images.hermanmiller.group/asset/cd476fd3-09f0-442f-b77a-06e7adcb504b/W/sw_maharam_epingle_stripe_caramel.png</t>
  </si>
  <si>
    <t>https://images.hermanmiller.group/m/68d3871517d8eb26/W-sw_HM_white_oak.png</t>
  </si>
  <si>
    <t>|leg||oak| - m/68d3871517d8eb26/W-sw_HM_white_oak.png</t>
  </si>
  <si>
    <t>Cube Armchair - Epingle Stripe, Caramel, Walnut</t>
  </si>
  <si>
    <t>https://www.dwr.com/100661719.html</t>
  </si>
  <si>
    <t>https://images.hermanmiller.group/asset/c429b71a-e7a2-4001-ad58-b896adb95e2d/W/DWR_2544155_100661719_epingle_stripe_caramel_walnut_f.png?trim=auto&amp;trim-sd=1&amp;blend-mode=darken&amp;blend=f8f8f8&amp;bg=f8f8f8&amp;auto=format&amp;w=2400&amp;q=100&amp;h=2400,https://images.hermanmiller.group/asset/9ca69728-dfaa-4704-9f57-bd0fb1427fc8/W/DWR_2544155_100661719_epingle_stripe_caramel_walnut_a.png?trim=auto&amp;trim-sd=1&amp;blend-mode=darken&amp;blend=f8f8f8&amp;bg=f8f8f8&amp;auto=format&amp;w=2400&amp;q=100&amp;h=2400,https://images.hermanmiller.group/asset/db06cfdf-816a-4b6c-b9f4-43bb943c06b7/W/DWR_2544155_100661719_epingle_stripe_caramel_walnut_p.png?trim=auto&amp;trim-sd=1&amp;blend-mode=darken&amp;blend=f8f8f8&amp;bg=f8f8f8&amp;auto=format&amp;w=2400&amp;q=100&amp;h=2400,https://images.hermanmiller.group/asset/97771622-384b-4a70-bee8-14fbceb74c3a/W/DWR_2544155_100661719_epingle_stripe_caramel_walnut_b.png?trim=auto&amp;trim-sd=1&amp;blend-mode=darken&amp;blend=f8f8f8&amp;bg=f8f8f8&amp;auto=format&amp;w=2400&amp;q=100&amp;h=2400,https://images.hermanmiller.group/asset/e9781e30-851a-4532-802c-70eea0ace39b/W/DWR_2544155_100661719_epingle_stripe_caramel_walnut_d.png?trim=auto&amp;trim-sd=1&amp;blend-mode=darken&amp;blend=f8f8f8&amp;bg=f8f8f8&amp;auto=format&amp;w=2400&amp;q=100&amp;h=2400</t>
  </si>
  <si>
    <t>https://images.hermanmiller.group/m/35da0f08ea0e6d42/W-sw_HM_wood_walnut_veneer_OU.png https://images.hermanmiller.group/asset/cd476fd3-09f0-442f-b77a-06e7adcb504b/W/sw_maharam_epingle_stripe_caramel.png</t>
  </si>
  <si>
    <t>https://images.hermanmiller.group/m/35da0f08ea0e6d42/W-sw_HM_wood_walnut_veneer_OU.png</t>
  </si>
  <si>
    <t>|leg||walnut| - m/35da0f08ea0e6d42/W-sw_HM_wood_walnut_veneer_OU.png</t>
  </si>
  <si>
    <t>Cube Sofa - 80", Beck, Retrospect, Oak</t>
  </si>
  <si>
    <t>Cube Sofa</t>
  </si>
  <si>
    <t>27" H 81½" W 31½" D</t>
  </si>
  <si>
    <t>https://www.dwr.com/100559923.html</t>
  </si>
  <si>
    <t>https://images.hermanmiller.group/m/637128ab0a7830a5/W-HM_2544056_100559923_retrospect_oak_f-tif.png?trim=auto&amp;trim-sd=1&amp;blend-mode=darken&amp;blend=f8f8f8&amp;bg=f8f8f8&amp;auto=format&amp;w=2400&amp;q=100&amp;h=2400</t>
  </si>
  <si>
    <t>80"</t>
  </si>
  <si>
    <t>Sofas + Sectionals</t>
  </si>
  <si>
    <t>NCU2WHNZB333</t>
  </si>
  <si>
    <t>Cube Sofa - 80", Beck, Retrospect, Walnut</t>
  </si>
  <si>
    <t>https://www.dwr.com/100559924.html</t>
  </si>
  <si>
    <t>https://images.hermanmiller.group/m/890d3fd15b25dc8c/W-HM_2544056_100559924_retrospect_walnut_f-tif.png?trim=auto&amp;trim-sd=1&amp;blend-mode=darken&amp;blend=f8f8f8&amp;bg=f8f8f8&amp;auto=format&amp;w=2400&amp;q=100&amp;h=2400</t>
  </si>
  <si>
    <t>NCU2OUZB333</t>
  </si>
  <si>
    <t>Cube Sofa - 80", Toostripe, Ochre Dark / Sienna, Oak</t>
  </si>
  <si>
    <t>https://www.dwr.com/100578875.html</t>
  </si>
  <si>
    <t>https://images.hermanmiller.group/m/100476b60c8656fd/W-HM_2544056_100578875_ochre_sienna_oak_80_f.png?trim=auto&amp;trim-sd=1&amp;blend-mode=darken&amp;blend=f8f8f8&amp;bg=f8f8f8&amp;auto=format&amp;w=2400&amp;q=100&amp;h=2400,https://images.hermanmiller.group/m/5444409608714c56/W-HM_2544056_100578875_ochre_sienna_oak_80_a.png?trim=auto&amp;trim-sd=1&amp;blend-mode=darken&amp;blend=f8f8f8&amp;bg=f8f8f8&amp;auto=format&amp;w=2400&amp;q=100&amp;h=2400,https://images.hermanmiller.group/m/0b10a322cf026f25/W-HM_2544056_100578875_ochre_sienna_oak_80_p.png?trim=auto&amp;trim-sd=1&amp;blend-mode=darken&amp;blend=f8f8f8&amp;bg=f8f8f8&amp;auto=format&amp;w=2400&amp;q=100&amp;h=2400,https://images.hermanmiller.group/m/5798afbed744315a/W-HM_2544056_100578875_ochre_sienna_oak_80_b.png?trim=auto&amp;trim-sd=1&amp;blend-mode=darken&amp;blend=f8f8f8&amp;bg=f8f8f8&amp;auto=format&amp;w=2400&amp;q=100&amp;h=2400,https://images.hermanmiller.group/m/26e43b0c5bb14440/W-HM_2544056_100578875_ochre_sienna_oak_80_d1.png?trim=auto&amp;trim-sd=1&amp;blend-mode=darken&amp;blend=f8f8f8&amp;bg=f8f8f8&amp;auto=format&amp;w=2400&amp;q=100&amp;h=2400</t>
  </si>
  <si>
    <t>Toostripe</t>
  </si>
  <si>
    <t>Ochre Dark / Sienna</t>
  </si>
  <si>
    <t>NCU2WHNV2203</t>
  </si>
  <si>
    <t>https://images.hermanmiller.group/m/7cbaef9067ae7d09/W-toostripe-ochre-dark-sienna.png https://images.hermanmiller.group/m/68d3871517d8eb26/W-sw_HM_white_oak.png</t>
  </si>
  <si>
    <t>|upholstery||toostripe||color||ochre_dark_sienna| - m/7cbaef9067ae7d09/W-toostripe-ochre-dark-sienna.png |color||ochre_dark_sienna| - m/7cbaef9067ae7d09/W-toostripe-ochre-dark-sienna.png |leg||oak| - m/68d3871517d8eb26/W-sw_HM_white_oak.png</t>
  </si>
  <si>
    <t>Cube Sofa - 80", Toostripe, Ochre Dark / Sienna, Walnut</t>
  </si>
  <si>
    <t>https://www.dwr.com/100578777.html</t>
  </si>
  <si>
    <t>https://images.hermanmiller.group/m/f00496b2a80e9e45/W-HM_2544056_100578777_ochre_sienna_walnut_80_f.png?trim=auto&amp;trim-sd=1&amp;blend-mode=darken&amp;blend=f8f8f8&amp;bg=f8f8f8&amp;auto=format&amp;w=2400&amp;q=100&amp;h=2400</t>
  </si>
  <si>
    <t>NCU2OUV2203</t>
  </si>
  <si>
    <t>https://images.hermanmiller.group/m/7cbaef9067ae7d09/W-toostripe-ochre-dark-sienna.png https://images.hermanmiller.group/m/35da0f08ea0e6d42/W-sw_HM_wood_walnut_veneer_OU.png</t>
  </si>
  <si>
    <t>|upholstery||toostripe||color||ochre_dark_sienna| - m/7cbaef9067ae7d09/W-toostripe-ochre-dark-sienna.png |color||ochre_dark_sienna| - m/7cbaef9067ae7d09/W-toostripe-ochre-dark-sienna.png |leg||walnut| - m/35da0f08ea0e6d42/W-sw_HM_wood_walnut_veneer_OU.png</t>
  </si>
  <si>
    <t>Blis Ottoman - Black, Oxbow, Trope</t>
  </si>
  <si>
    <t>Blis Ottoman</t>
  </si>
  <si>
    <t>Beaverhausen</t>
  </si>
  <si>
    <t>16⅝" H 22½" W 22½" D</t>
  </si>
  <si>
    <t>https://www.dwr.com/100656809.html</t>
  </si>
  <si>
    <t>https://images.hermanmiller.group/asset/deacaab0-b80f-44b7-be8e-28df0f625c81/W/DWR_2589635_100656809_trope_black_f.png?trim=auto&amp;trim-sd=1&amp;blend-mode=darken&amp;blend=f8f8f8&amp;bg=f8f8f8&amp;auto=format&amp;w=2400&amp;q=100&amp;h=2400,https://images.hermanmiller.group/asset/f4f84662-2078-4312-bbe8-e916e9f69214/W/DWR_2589635_100656809_trope_black_a.png?trim=auto&amp;trim-sd=1&amp;blend-mode=darken&amp;blend=f8f8f8&amp;bg=f8f8f8&amp;auto=format&amp;w=2400&amp;q=100&amp;h=2400</t>
  </si>
  <si>
    <t>Frame Finish</t>
  </si>
  <si>
    <t>Oxbow</t>
  </si>
  <si>
    <t>Trope</t>
  </si>
  <si>
    <t>Blis Collection</t>
  </si>
  <si>
    <t>The Living Room Sale: Save 20%</t>
  </si>
  <si>
    <t>10001900900400\000083</t>
  </si>
  <si>
    <t>Blis Swivel Chair  - Black, Oxbow, Trope</t>
  </si>
  <si>
    <t>Blis Swivel Chair</t>
  </si>
  <si>
    <t>34¼" H 30¾" W 30" D</t>
  </si>
  <si>
    <t>https://www.dwr.com/100656795.html</t>
  </si>
  <si>
    <t>https://images.hermanmiller.group/asset/1dbecaca-d9a2-4094-bc49-7142a459f164/W/DWR_2589634_100656795_trope_black_a.png?trim=auto&amp;trim-sd=1&amp;blend-mode=darken&amp;blend=f8f8f8&amp;bg=f8f8f8&amp;auto=format&amp;w=2400&amp;q=100&amp;h=2400,https://images.hermanmiller.group/asset/87463b5a-f1fe-400d-9f4a-b51cddfb3464/W/DWR_2589634_100656795_trope_black_f.png?trim=auto&amp;trim-sd=1&amp;blend-mode=darken&amp;blend=f8f8f8&amp;bg=f8f8f8&amp;auto=format&amp;w=2400&amp;q=100&amp;h=2400</t>
  </si>
  <si>
    <t>10001900900300\000083</t>
  </si>
  <si>
    <t>Blis Swivel Chair and Ottoman - Black, Oxbow, Trope</t>
  </si>
  <si>
    <t>Blis Swivel Chair and Ottoman</t>
  </si>
  <si>
    <t>Chair:34¼" H 30¾" W 30" D Chair:16⅝" H Chair:22½" W Chair:22½" D</t>
  </si>
  <si>
    <t>https://www.dwr.com/100657244.html</t>
  </si>
  <si>
    <t>https://images.hermanmiller.group/asset/fe9c66aa-b072-4275-aaec-8fdeba8babaa/W/DWR_2589636_100657244_trope_black_a.png?trim=auto&amp;trim-sd=1&amp;blend-mode=darken&amp;blend=f8f8f8&amp;bg=f8f8f8&amp;auto=format&amp;w=2400&amp;q=100&amp;h=2400</t>
  </si>
  <si>
    <t>MESH KEY</t>
  </si>
  <si>
    <t>M001</t>
  </si>
  <si>
    <t>M016</t>
  </si>
  <si>
    <t>M017</t>
  </si>
  <si>
    <t>M018</t>
  </si>
  <si>
    <t>M014</t>
  </si>
  <si>
    <t>M015</t>
  </si>
  <si>
    <t>M002</t>
  </si>
  <si>
    <t>M004</t>
  </si>
  <si>
    <t>M003</t>
  </si>
  <si>
    <t>M005</t>
  </si>
  <si>
    <t>M007</t>
  </si>
  <si>
    <t>M006</t>
  </si>
  <si>
    <t>M008</t>
  </si>
  <si>
    <t>M012</t>
  </si>
  <si>
    <t>M013</t>
  </si>
  <si>
    <t>M009</t>
  </si>
  <si>
    <t>M010</t>
  </si>
  <si>
    <t>M011</t>
  </si>
  <si>
    <t>Mesh ID</t>
  </si>
  <si>
    <t>All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</si>
</sst>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0" xfId="0" applyNumberFormat="1" applyFont="1" applyFill="1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2" fillId="0" borderId="0" xfId="0" applyNumberFormat="1" applyFont="1"/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49" fontId="4" fillId="0" borderId="0" xfId="0" applyNumberFormat="1" applyFont="1"/>
    <xf numFmtId="49" fontId="5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49" fontId="6" fillId="0" borderId="0" xfId="0" applyNumberFormat="1" applyFont="1"/>
    <xf numFmtId="49" fontId="6" fillId="0" borderId="0" xfId="0" applyNumberFormat="1" applyFont="1" applyAlignment="1">
      <alignment wrapText="1"/>
    </xf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49" fontId="8" fillId="0" borderId="0" xfId="0" applyNumberFormat="1" applyFont="1"/>
    <xf numFmtId="0" fontId="8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wr.com/100538040.html" TargetMode="External"/><Relationship Id="rId21" Type="http://schemas.openxmlformats.org/officeDocument/2006/relationships/hyperlink" Target="https://images.hermanmiller.group/m/56d878e3152de1ed/W-sw_mode_lioness_rust.png" TargetMode="External"/><Relationship Id="rId42" Type="http://schemas.openxmlformats.org/officeDocument/2006/relationships/hyperlink" Target="https://images.hermanmiller.group/asset/90ca8257-6cbb-414d-8c2c-e25c3f9aea84/W/DWR_2585681_100608414_mustard_f1.png?trim=auto&amp;trim-sd=1&amp;blend-mode=darken&amp;blend=f8f8f8&amp;bg=f8f8f8&amp;auto=format&amp;w=600&amp;q=50&amp;h=600,https://images.hermanmiller.group/asset/22461c54-e443-47b9-a102-701b49167fe2/W/DWR_2585681_100608414_mustard_f.png?trim=auto&amp;trim-sd=1&amp;blend-mode=darken&amp;blend=f8f8f8&amp;bg=f8f8f8&amp;auto=format&amp;w=600&amp;q=50&amp;h=600" TargetMode="External"/><Relationship Id="rId47" Type="http://schemas.openxmlformats.org/officeDocument/2006/relationships/hyperlink" Target="https://www.dwr.com/100608415.html" TargetMode="External"/><Relationship Id="rId63" Type="http://schemas.openxmlformats.org/officeDocument/2006/relationships/hyperlink" Target="https://www.dwr.com/100559775.html" TargetMode="External"/><Relationship Id="rId68" Type="http://schemas.openxmlformats.org/officeDocument/2006/relationships/hyperlink" Target="https://images.hermanmiller.group/m/35da0f08ea0e6d42/W-sw_HM_wood_walnut_veneer_OU.png" TargetMode="External"/><Relationship Id="rId16" Type="http://schemas.openxmlformats.org/officeDocument/2006/relationships/hyperlink" Target="https://www.dwr.com/100177257.html" TargetMode="External"/><Relationship Id="rId11" Type="http://schemas.openxmlformats.org/officeDocument/2006/relationships/hyperlink" Target="https://images.hermanmiller.group/m/173d3295839e5744/W-8439_COLOR_sand.png" TargetMode="External"/><Relationship Id="rId32" Type="http://schemas.openxmlformats.org/officeDocument/2006/relationships/hyperlink" Target="https://images.hermanmiller.group/m/32515d299e7068bf/W-W-sw_generic_walnut.png" TargetMode="External"/><Relationship Id="rId37" Type="http://schemas.openxmlformats.org/officeDocument/2006/relationships/hyperlink" Target="https://www.dwr.com/100145046.html" TargetMode="External"/><Relationship Id="rId53" Type="http://schemas.openxmlformats.org/officeDocument/2006/relationships/hyperlink" Target="https://www.dwr.com/100072864.html" TargetMode="External"/><Relationship Id="rId58" Type="http://schemas.openxmlformats.org/officeDocument/2006/relationships/hyperlink" Target="https://images.hermanmiller.group/m/58464bca885139c3/W-DWR_2195845_100072872_white_f1.png?trim=auto&amp;trim-sd=1&amp;blend-mode=darken&amp;blend=f8f8f8&amp;bg=f8f8f8&amp;auto=format&amp;w=600&amp;q=50&amp;h=600,https://images.hermanmiller.group/m/cee549818547c05c/W-DWR_2195845_100072872_white_f.png?trim=auto&amp;trim-sd=1&amp;blend-mode=darken&amp;blend=f8f8f8&amp;bg=f8f8f8&amp;auto=format&amp;w=600&amp;q=50&amp;h=600" TargetMode="External"/><Relationship Id="rId74" Type="http://schemas.openxmlformats.org/officeDocument/2006/relationships/hyperlink" Target="https://images.hermanmiller.group/m/100476b60c8656fd/W-HM_2544056_100578875_ochre_sienna_oak_80_f.png?trim=auto&amp;trim-sd=1&amp;blend-mode=darken&amp;blend=f8f8f8&amp;bg=f8f8f8&amp;auto=format&amp;w=600&amp;q=50&amp;h=600,https://images.hermanmiller.group/m/5444409608714c56/W-HM_2544056_100578875_ochre_sienna_oak_80_a.png?trim=auto&amp;trim-sd=1&amp;blend-mode=darken&amp;blend=f8f8f8&amp;bg=f8f8f8&amp;auto=format&amp;w=600&amp;q=50&amp;h=600,https://images.hermanmiller.group/m/0b10a322cf026f25/W-HM_2544056_100578875_ochre_sienna_oak_80_p.png?trim=auto&amp;trim-sd=1&amp;blend-mode=darken&amp;blend=f8f8f8&amp;bg=f8f8f8&amp;auto=format&amp;w=600&amp;q=50&amp;h=600,https://images.hermanmiller.group/m/5798afbed744315a/W-HM_2544056_100578875_ochre_sienna_oak_80_b.png?trim=auto&amp;trim-sd=1&amp;blend-mode=darken&amp;blend=f8f8f8&amp;bg=f8f8f8&amp;auto=format&amp;w=600&amp;q=50&amp;h=600,https://images.hermanmiller.group/m/26e43b0c5bb14440/W-HM_2544056_100578875_ochre_sienna_oak_80_d1.png?trim=auto&amp;trim-sd=1&amp;blend-mode=darken&amp;blend=f8f8f8&amp;bg=f8f8f8&amp;auto=format&amp;w=600&amp;q=50&amp;h=600" TargetMode="External"/><Relationship Id="rId79" Type="http://schemas.openxmlformats.org/officeDocument/2006/relationships/hyperlink" Target="https://www.dwr.com/100656795.html" TargetMode="External"/><Relationship Id="rId5" Type="http://schemas.openxmlformats.org/officeDocument/2006/relationships/hyperlink" Target="https://images.hermanmiller.group/m/5541f3cb7f4a09b9/W-DWR_3773_100596554_cypress_green_f.png?trim=auto&amp;trim-sd=1&amp;blend-mode=darken&amp;blend=f8f8f8&amp;bg=f8f8f8&amp;auto=format&amp;w=600&amp;q=50&amp;h=600,https://images.hermanmiller.group/m/17aa88738929f830/W-DWR_3773_100596554_cypress_green_a.png?trim=auto&amp;trim-sd=1&amp;blend-mode=darken&amp;blend=f8f8f8&amp;bg=f8f8f8&amp;auto=format&amp;w=600&amp;q=50&amp;h=600" TargetMode="External"/><Relationship Id="rId61" Type="http://schemas.openxmlformats.org/officeDocument/2006/relationships/hyperlink" Target="https://www.dwr.com/100559774.html" TargetMode="External"/><Relationship Id="rId82" Type="http://schemas.openxmlformats.org/officeDocument/2006/relationships/hyperlink" Target="https://images.hermanmiller.group/asset/fe9c66aa-b072-4275-aaec-8fdeba8babaa/W/DWR_2589636_100657244_trope_black_a.png?trim=auto&amp;trim-sd=1&amp;blend-mode=darken&amp;blend=f8f8f8&amp;bg=f8f8f8&amp;auto=format&amp;w=600&amp;q=50&amp;h=600" TargetMode="External"/><Relationship Id="rId19" Type="http://schemas.openxmlformats.org/officeDocument/2006/relationships/hyperlink" Target="https://images.hermanmiller.group/m/173d3295839e5744/W-8439_COLOR_sand.png" TargetMode="External"/><Relationship Id="rId14" Type="http://schemas.openxmlformats.org/officeDocument/2006/relationships/hyperlink" Target="https://images.hermanmiller.group/asset/e9ee858f-1ae1-4073-867a-8e02bf991e7e/W/MTO_Kink_vase_26_deep_red_muuto_hi_res-tif.png?trim=auto&amp;trim-sd=1&amp;blend-mode=darken&amp;blend=f8f8f8&amp;bg=f8f8f8&amp;auto=format&amp;w=600&amp;q=50&amp;h=600" TargetMode="External"/><Relationship Id="rId22" Type="http://schemas.openxmlformats.org/officeDocument/2006/relationships/hyperlink" Target="https://images.hermanmiller.group/m/ee96bca4594e25e1/W-DWR_2555542_100538042_saltwater_eucalyptus_f.png?trim=auto&amp;trim-sd=1&amp;blend-mode=darken&amp;blend=f8f8f8&amp;bg=f8f8f8&amp;auto=format&amp;w=600&amp;q=50&amp;h=600,https://images.hermanmiller.group/m/a34aaf70bf2bd566/W-DWR_2555542_100538042_saltwater_eucalyptus_b.png?trim=auto&amp;trim-sd=1&amp;blend-mode=darken&amp;blend=f8f8f8&amp;bg=f8f8f8&amp;auto=format&amp;w=600&amp;q=50&amp;h=600" TargetMode="External"/><Relationship Id="rId27" Type="http://schemas.openxmlformats.org/officeDocument/2006/relationships/hyperlink" Target="https://images.hermanmiller.group/m/52b7d81d68bcea54/W-DWR_2555542_100538037_lioness_rust_f.png?trim=auto&amp;trim-sd=1&amp;blend-mode=darken&amp;blend=f8f8f8&amp;bg=f8f8f8&amp;auto=format&amp;w=600&amp;q=50&amp;h=600,https://images.hermanmiller.group/m/97a874afda34b955/W-DWR_2555542_100538037_lioness_rust_b.png?trim=auto&amp;trim-sd=1&amp;blend-mode=darken&amp;blend=f8f8f8&amp;bg=f8f8f8&amp;auto=format&amp;w=600&amp;q=50&amp;h=600" TargetMode="External"/><Relationship Id="rId30" Type="http://schemas.openxmlformats.org/officeDocument/2006/relationships/hyperlink" Target="https://images.hermanmiller.group/m/1ac2f579d3d7dce1/W-sw_generic_oak.png" TargetMode="External"/><Relationship Id="rId35" Type="http://schemas.openxmlformats.org/officeDocument/2006/relationships/hyperlink" Target="https://images.hermanmiller.group/m/52e3b6686cc746f5/W-sw_knoll_iseo_light-grey.png" TargetMode="External"/><Relationship Id="rId43" Type="http://schemas.openxmlformats.org/officeDocument/2006/relationships/hyperlink" Target="https://images.hermanmiller.group/asset/37fef664-13d2-46e3-8926-ac73ec802ce6/W/sw_ameico_mustard.png" TargetMode="External"/><Relationship Id="rId48" Type="http://schemas.openxmlformats.org/officeDocument/2006/relationships/hyperlink" Target="https://images.hermanmiller.group/asset/2d1f0cb7-20df-444f-a7e3-13c148242151/W/DWR_2585681_100608415_stone_blue_f.png?trim=auto&amp;trim-sd=1&amp;blend-mode=darken&amp;blend=f8f8f8&amp;bg=f8f8f8&amp;auto=format&amp;w=600&amp;q=50&amp;h=600" TargetMode="External"/><Relationship Id="rId56" Type="http://schemas.openxmlformats.org/officeDocument/2006/relationships/hyperlink" Target="https://images.hermanmiller.group/m/64d64d767043b383/W-sw_woodard_black_metal-tif.png" TargetMode="External"/><Relationship Id="rId64" Type="http://schemas.openxmlformats.org/officeDocument/2006/relationships/hyperlink" Target="https://images.hermanmiller.group/m/7ed6c0783088d4bc/W-HM_2544155_100559775_retrospect_walnut_f-tif.png?trim=auto&amp;trim-sd=1&amp;blend-mode=darken&amp;blend=f8f8f8&amp;bg=f8f8f8&amp;auto=format&amp;w=600&amp;q=50&amp;h=600" TargetMode="External"/><Relationship Id="rId69" Type="http://schemas.openxmlformats.org/officeDocument/2006/relationships/hyperlink" Target="https://www.dwr.com/100559923.html" TargetMode="External"/><Relationship Id="rId77" Type="http://schemas.openxmlformats.org/officeDocument/2006/relationships/hyperlink" Target="https://www.dwr.com/100656809.html" TargetMode="External"/><Relationship Id="rId8" Type="http://schemas.openxmlformats.org/officeDocument/2006/relationships/hyperlink" Target="https://images.hermanmiller.group/m/24f21fe118703fc3/W-DWR_3845_655422_bronze_f_v4.png?trim=auto&amp;trim-sd=1&amp;blend-mode=darken&amp;blend=f8f8f8&amp;bg=f8f8f8&amp;auto=format&amp;w=600&amp;q=50&amp;h=600" TargetMode="External"/><Relationship Id="rId51" Type="http://schemas.openxmlformats.org/officeDocument/2006/relationships/hyperlink" Target="https://images.hermanmiller.group/asset/86c7ab08-d48f-49f4-85b8-10d9bcc4ef2a/W/DWR_2585681_100608512_swim_blue_f1.png?trim=auto&amp;trim-sd=1&amp;blend-mode=darken&amp;blend=f8f8f8&amp;bg=f8f8f8&amp;auto=format&amp;w=600&amp;q=50&amp;h=600,https://images.hermanmiller.group/asset/f35a3ef5-c186-492f-b86d-1aee79f7a931/W/DWR_2585681_100608512_swim_blue_f.png?trim=auto&amp;trim-sd=1&amp;blend-mode=darken&amp;blend=f8f8f8&amp;bg=f8f8f8&amp;auto=format&amp;w=600&amp;q=50&amp;h=600" TargetMode="External"/><Relationship Id="rId72" Type="http://schemas.openxmlformats.org/officeDocument/2006/relationships/hyperlink" Target="https://images.hermanmiller.group/m/890d3fd15b25dc8c/W-HM_2544056_100559924_retrospect_walnut_f-tif.png?trim=auto&amp;trim-sd=1&amp;blend-mode=darken&amp;blend=f8f8f8&amp;bg=f8f8f8&amp;auto=format&amp;w=600&amp;q=50&amp;h=600" TargetMode="External"/><Relationship Id="rId80" Type="http://schemas.openxmlformats.org/officeDocument/2006/relationships/hyperlink" Target="https://images.hermanmiller.group/asset/1dbecaca-d9a2-4094-bc49-7142a459f164/W/DWR_2589634_100656795_trope_black_a.png?trim=auto&amp;trim-sd=1&amp;blend-mode=darken&amp;blend=f8f8f8&amp;bg=f8f8f8&amp;auto=format&amp;w=600&amp;q=50&amp;h=600,https://images.hermanmiller.group/asset/87463b5a-f1fe-400d-9f4a-b51cddfb3464/W/DWR_2589634_100656795_trope_black_f.png?trim=auto&amp;trim-sd=1&amp;blend-mode=darken&amp;blend=f8f8f8&amp;bg=f8f8f8&amp;auto=format&amp;w=600&amp;q=50&amp;h=600" TargetMode="External"/><Relationship Id="rId3" Type="http://schemas.openxmlformats.org/officeDocument/2006/relationships/hyperlink" Target="https://images.hermanmiller.group/m/1b04cb5cd699f245/W-sw_knoll_iseo_bordeaux.png" TargetMode="External"/><Relationship Id="rId12" Type="http://schemas.openxmlformats.org/officeDocument/2006/relationships/hyperlink" Target="https://images.hermanmiller.group/m/173d3295839e5744/W-8439_COLOR_sand.png" TargetMode="External"/><Relationship Id="rId17" Type="http://schemas.openxmlformats.org/officeDocument/2006/relationships/hyperlink" Target="https://images.hermanmiller.group/m/dc80b56311cfb48a/W-MTO_2518291_100177257_sand_f.png?trim=auto&amp;trim-sd=1&amp;blend-mode=darken&amp;blend=f8f8f8&amp;bg=f8f8f8&amp;auto=format&amp;w=600&amp;q=50&amp;h=600,https://images.hermanmiller.group/m/9b55acb44cc3c7f7/W-MTO_2518291_100177257_sand_a.png?trim=auto&amp;trim-sd=1&amp;blend-mode=darken&amp;blend=f8f8f8&amp;bg=f8f8f8&amp;auto=format&amp;w=600&amp;q=50&amp;h=600" TargetMode="External"/><Relationship Id="rId25" Type="http://schemas.openxmlformats.org/officeDocument/2006/relationships/hyperlink" Target="https://images.hermanmiller.group/m/5e978bf5e57db663/W-sw_mode_saltwater_jetty.png" TargetMode="External"/><Relationship Id="rId33" Type="http://schemas.openxmlformats.org/officeDocument/2006/relationships/hyperlink" Target="https://www.dwr.com/100168671.html" TargetMode="External"/><Relationship Id="rId38" Type="http://schemas.openxmlformats.org/officeDocument/2006/relationships/hyperlink" Target="https://images.hermanmiller.group/m/72f3eac1bc0cd041/W-HAY_2515111_100145046_divina_691_remix_692_walnut_f.png?trim=auto&amp;trim-sd=1&amp;blend-mode=darken&amp;blend=f8f8f8&amp;bg=f8f8f8&amp;auto=format&amp;w=600&amp;q=50&amp;h=600,https://images.hermanmiller.group/m/e795ddb8c0b91fd9/W-HAY_2515111_100145046_divina_691_remix_692_walnut_a.png?trim=auto&amp;trim-sd=1&amp;blend-mode=darken&amp;blend=f8f8f8&amp;bg=f8f8f8&amp;auto=format&amp;w=600&amp;q=50&amp;h=600,https://images.hermanmiller.group/m/b92504418aa1b376/W-HAY_2515111_100145046_divina_691_remix_692_walnut_p.png?trim=auto&amp;trim-sd=1&amp;blend-mode=darken&amp;blend=f8f8f8&amp;bg=f8f8f8&amp;auto=format&amp;w=600&amp;q=50&amp;h=600" TargetMode="External"/><Relationship Id="rId46" Type="http://schemas.openxmlformats.org/officeDocument/2006/relationships/hyperlink" Target="https://images.hermanmiller.group/asset/aeb46efd-ce33-4ebd-a966-45f79d8d0abc/W/sw_ameico_signal_green.png" TargetMode="External"/><Relationship Id="rId59" Type="http://schemas.openxmlformats.org/officeDocument/2006/relationships/hyperlink" Target="https://images.hermanmiller.group/m/997eb4a8dbd541c0/W-sw_woodard_white_cushion-tif.png" TargetMode="External"/><Relationship Id="rId67" Type="http://schemas.openxmlformats.org/officeDocument/2006/relationships/hyperlink" Target="https://www.dwr.com/100661719.html" TargetMode="External"/><Relationship Id="rId20" Type="http://schemas.openxmlformats.org/officeDocument/2006/relationships/hyperlink" Target="https://images.hermanmiller.group/m/0ecccd612804f38a/W-DWR_2555542_100538043_lioness_rust_f.png?trim=auto&amp;trim-sd=1&amp;blend-mode=darken&amp;blend=f8f8f8&amp;bg=f8f8f8&amp;auto=format&amp;w=600&amp;q=50&amp;h=600,https://images.hermanmiller.group/m/cbab7bd0dd5ac09f/W-DWR_2555542_100538043_lioness_rust_b.png?trim=auto&amp;trim-sd=1&amp;blend-mode=darken&amp;blend=f8f8f8&amp;bg=f8f8f8&amp;auto=format&amp;w=600&amp;q=50&amp;h=600" TargetMode="External"/><Relationship Id="rId41" Type="http://schemas.openxmlformats.org/officeDocument/2006/relationships/hyperlink" Target="https://www.dwr.com/100608414.html" TargetMode="External"/><Relationship Id="rId54" Type="http://schemas.openxmlformats.org/officeDocument/2006/relationships/hyperlink" Target="https://images.hermanmiller.group/m/e8daf7224dcc744c/W-DWR_2195841_100072864_black_f.png?trim=auto&amp;trim-sd=1&amp;blend-mode=darken&amp;blend=f8f8f8&amp;bg=f8f8f8&amp;auto=format&amp;w=600&amp;q=50&amp;h=600,https://images.hermanmiller.group/m/5eba0caf9552ca7b/W-DWR_2195841_100072866_red_orange_a.png?trim=auto&amp;trim-sd=1&amp;blend-mode=darken&amp;blend=f8f8f8&amp;bg=f8f8f8&amp;auto=format&amp;w=600&amp;q=50&amp;h=600,https://images.hermanmiller.group/m/cd749113b7b28087/W-DWR_2195841_100072864_black_a.png?trim=auto&amp;trim-sd=1&amp;blend-mode=darken&amp;blend=f8f8f8&amp;bg=f8f8f8&amp;auto=format&amp;w=600&amp;q=50&amp;h=600,https://images.hermanmiller.group/m/a8d0f219e4aee34b/W-DWR_2195841_100072864_black_p.png?trim=auto&amp;trim-sd=1&amp;blend-mode=darken&amp;blend=f8f8f8&amp;bg=f8f8f8&amp;auto=format&amp;w=600&amp;q=50&amp;h=600,https://images.hermanmiller.group/m/b27a6e3fe3d2e42c/W-DWR_2195841_100072864_black_b.png?trim=auto&amp;trim-sd=1&amp;blend-mode=darken&amp;blend=f8f8f8&amp;bg=f8f8f8&amp;auto=format&amp;w=600&amp;q=50&amp;h=600" TargetMode="External"/><Relationship Id="rId62" Type="http://schemas.openxmlformats.org/officeDocument/2006/relationships/hyperlink" Target="https://images.hermanmiller.group/m/42e89e0d414ecdff/W-HM_2544155_100559774_retrospect_oak_f-tif.png?trim=auto&amp;trim-sd=1&amp;blend-mode=darken&amp;blend=f8f8f8&amp;bg=f8f8f8&amp;auto=format&amp;w=600&amp;q=50&amp;h=600" TargetMode="External"/><Relationship Id="rId70" Type="http://schemas.openxmlformats.org/officeDocument/2006/relationships/hyperlink" Target="https://images.hermanmiller.group/m/637128ab0a7830a5/W-HM_2544056_100559923_retrospect_oak_f-tif.png?trim=auto&amp;trim-sd=1&amp;blend-mode=darken&amp;blend=f8f8f8&amp;bg=f8f8f8&amp;auto=format&amp;w=600&amp;q=50&amp;h=600" TargetMode="External"/><Relationship Id="rId75" Type="http://schemas.openxmlformats.org/officeDocument/2006/relationships/hyperlink" Target="https://www.dwr.com/100578777.html" TargetMode="External"/><Relationship Id="rId1" Type="http://schemas.openxmlformats.org/officeDocument/2006/relationships/hyperlink" Target="https://www.dwr.com/100596557.html" TargetMode="External"/><Relationship Id="rId6" Type="http://schemas.openxmlformats.org/officeDocument/2006/relationships/hyperlink" Target="https://images.hermanmiller.group/m/33662a910125ad55/W-COLOR_cypress_green.png" TargetMode="External"/><Relationship Id="rId15" Type="http://schemas.openxmlformats.org/officeDocument/2006/relationships/hyperlink" Target="https://images.hermanmiller.group/m/296b847dd49fe7f1/W-sw_muuto_deep-red_color_swatch.png" TargetMode="External"/><Relationship Id="rId23" Type="http://schemas.openxmlformats.org/officeDocument/2006/relationships/hyperlink" Target="https://images.hermanmiller.group/m/5e978bf5e57db663/W-sw_mode_saltwater_jetty.png" TargetMode="External"/><Relationship Id="rId28" Type="http://schemas.openxmlformats.org/officeDocument/2006/relationships/hyperlink" Target="https://images.hermanmiller.group/m/56d878e3152de1ed/W-sw_mode_lioness_rust.png" TargetMode="External"/><Relationship Id="rId36" Type="http://schemas.openxmlformats.org/officeDocument/2006/relationships/hyperlink" Target="https://images.hermanmiller.group/m/1744a6757a8da458/W-sw_fritz_hansen_colored_ash_light_grey.png" TargetMode="External"/><Relationship Id="rId49" Type="http://schemas.openxmlformats.org/officeDocument/2006/relationships/hyperlink" Target="https://images.hermanmiller.group/asset/e6d8c3e5-db74-4f99-bd0a-32fd1ce2b3ef/W/sw_ameico_stone_blue.png" TargetMode="External"/><Relationship Id="rId57" Type="http://schemas.openxmlformats.org/officeDocument/2006/relationships/hyperlink" Target="https://www.dwr.com/100072872.html" TargetMode="External"/><Relationship Id="rId10" Type="http://schemas.openxmlformats.org/officeDocument/2006/relationships/hyperlink" Target="https://images.hermanmiller.group/m/b0e0441bf31edaf9/W-MTO_kink_vase_39_sand_f-tif.png?trim=auto&amp;trim-sd=1&amp;blend-mode=darken&amp;blend=f8f8f8&amp;bg=f8f8f8&amp;auto=format&amp;w=600&amp;q=50&amp;h=600,https://images.hermanmiller.group/m/3a99261ca223af9f/W-MTO_kink_vase_39_sand_a-tif.png?trim=auto&amp;trim-sd=1&amp;blend-mode=darken&amp;blend=f8f8f8&amp;bg=f8f8f8&amp;auto=format&amp;w=600&amp;q=50&amp;h=600" TargetMode="External"/><Relationship Id="rId31" Type="http://schemas.openxmlformats.org/officeDocument/2006/relationships/hyperlink" Target="https://www.dwr.com/100642342.html" TargetMode="External"/><Relationship Id="rId44" Type="http://schemas.openxmlformats.org/officeDocument/2006/relationships/hyperlink" Target="https://www.dwr.com/100608411.html" TargetMode="External"/><Relationship Id="rId52" Type="http://schemas.openxmlformats.org/officeDocument/2006/relationships/hyperlink" Target="https://images.hermanmiller.group/asset/b8b193a3-edb1-429a-a403-dd7ea707d353/W/sw_ameico_swim_blue.png" TargetMode="External"/><Relationship Id="rId60" Type="http://schemas.openxmlformats.org/officeDocument/2006/relationships/hyperlink" Target="https://images.hermanmiller.group/m/997eb4a8dbd541c0/W-sw_woodard_white_cushion-tif.png" TargetMode="External"/><Relationship Id="rId65" Type="http://schemas.openxmlformats.org/officeDocument/2006/relationships/hyperlink" Target="https://www.dwr.com/100673417.html" TargetMode="External"/><Relationship Id="rId73" Type="http://schemas.openxmlformats.org/officeDocument/2006/relationships/hyperlink" Target="https://www.dwr.com/100578875.html" TargetMode="External"/><Relationship Id="rId78" Type="http://schemas.openxmlformats.org/officeDocument/2006/relationships/hyperlink" Target="https://images.hermanmiller.group/asset/deacaab0-b80f-44b7-be8e-28df0f625c81/W/DWR_2589635_100656809_trope_black_f.png?trim=auto&amp;trim-sd=1&amp;blend-mode=darken&amp;blend=f8f8f8&amp;bg=f8f8f8&amp;auto=format&amp;w=600&amp;q=50&amp;h=600,https://images.hermanmiller.group/asset/f4f84662-2078-4312-bbe8-e916e9f69214/W/DWR_2589635_100656809_trope_black_a.png?trim=auto&amp;trim-sd=1&amp;blend-mode=darken&amp;blend=f8f8f8&amp;bg=f8f8f8&amp;auto=format&amp;w=600&amp;q=50&amp;h=600" TargetMode="External"/><Relationship Id="rId81" Type="http://schemas.openxmlformats.org/officeDocument/2006/relationships/hyperlink" Target="https://www.dwr.com/100657244.html" TargetMode="External"/><Relationship Id="rId4" Type="http://schemas.openxmlformats.org/officeDocument/2006/relationships/hyperlink" Target="https://www.dwr.com/100596554.html" TargetMode="External"/><Relationship Id="rId9" Type="http://schemas.openxmlformats.org/officeDocument/2006/relationships/hyperlink" Target="https://www.dwr.com/100658330.html" TargetMode="External"/><Relationship Id="rId13" Type="http://schemas.openxmlformats.org/officeDocument/2006/relationships/hyperlink" Target="https://www.dwr.com/100658328.html" TargetMode="External"/><Relationship Id="rId18" Type="http://schemas.openxmlformats.org/officeDocument/2006/relationships/hyperlink" Target="https://images.hermanmiller.group/m/173d3295839e5744/W-8439_COLOR_sand.png" TargetMode="External"/><Relationship Id="rId39" Type="http://schemas.openxmlformats.org/officeDocument/2006/relationships/hyperlink" Target="https://www.dwr.com/100181152.html" TargetMode="External"/><Relationship Id="rId34" Type="http://schemas.openxmlformats.org/officeDocument/2006/relationships/hyperlink" Target="https://images.hermanmiller.group/m/acbce1982889e42f/W-DWR_2516240_100168671_light_grey_f.png?trim=auto&amp;trim-sd=1&amp;blend-mode=darken&amp;blend=f8f8f8&amp;bg=f8f8f8&amp;auto=format&amp;w=600&amp;q=50&amp;h=600" TargetMode="External"/><Relationship Id="rId50" Type="http://schemas.openxmlformats.org/officeDocument/2006/relationships/hyperlink" Target="https://www.dwr.com/100608512.html" TargetMode="External"/><Relationship Id="rId55" Type="http://schemas.openxmlformats.org/officeDocument/2006/relationships/hyperlink" Target="https://images.hermanmiller.group/m/64d64d767043b383/W-sw_woodard_black_metal-tif.png" TargetMode="External"/><Relationship Id="rId76" Type="http://schemas.openxmlformats.org/officeDocument/2006/relationships/hyperlink" Target="https://images.hermanmiller.group/m/f00496b2a80e9e45/W-HM_2544056_100578777_ochre_sienna_walnut_80_f.png?trim=auto&amp;trim-sd=1&amp;blend-mode=darken&amp;blend=f8f8f8&amp;bg=f8f8f8&amp;auto=format&amp;w=600&amp;q=50&amp;h=600" TargetMode="External"/><Relationship Id="rId7" Type="http://schemas.openxmlformats.org/officeDocument/2006/relationships/hyperlink" Target="https://www.dwr.com/655422.html" TargetMode="External"/><Relationship Id="rId71" Type="http://schemas.openxmlformats.org/officeDocument/2006/relationships/hyperlink" Target="https://www.dwr.com/100559924.html" TargetMode="External"/><Relationship Id="rId2" Type="http://schemas.openxmlformats.org/officeDocument/2006/relationships/hyperlink" Target="https://images.hermanmiller.group/m/c08be6ee672d709/W-DWR_3773_100596557_bordeaux_f.png?trim=auto&amp;trim-sd=1&amp;blend-mode=darken&amp;blend=f8f8f8&amp;bg=f8f8f8&amp;auto=format&amp;w=600&amp;q=50&amp;h=600,https://images.hermanmiller.group/m/5687626852d66cf/W-DWR_3773_100596557_bordeaux_a.png?trim=auto&amp;trim-sd=1&amp;blend-mode=darken&amp;blend=f8f8f8&amp;bg=f8f8f8&amp;auto=format&amp;w=600&amp;q=50&amp;h=600,https://images.hermanmiller.group/m/1ed3fc52ddf52fa9/W-DWR_3773_100596557_bordeaux_b.png?trim=auto&amp;trim-sd=1&amp;blend-mode=darken&amp;blend=f8f8f8&amp;bg=f8f8f8&amp;auto=format&amp;w=600&amp;q=50&amp;h=600" TargetMode="External"/><Relationship Id="rId29" Type="http://schemas.openxmlformats.org/officeDocument/2006/relationships/hyperlink" Target="https://www.dwr.com/100642343.html" TargetMode="External"/><Relationship Id="rId24" Type="http://schemas.openxmlformats.org/officeDocument/2006/relationships/hyperlink" Target="https://images.hermanmiller.group/m/af48e49dda7b62a0/W-DWR_2555542_100538036_saltwater_eucalyptus_f.png?trim=auto&amp;trim-sd=1&amp;blend-mode=darken&amp;blend=f8f8f8&amp;bg=f8f8f8&amp;auto=format&amp;w=600&amp;q=50&amp;h=600,https://images.hermanmiller.group/m/d57874c0ab920d8e/W-DWR_2555542_100538036_saltwater_eucalyptus_b.png?trim=auto&amp;trim-sd=1&amp;blend-mode=darken&amp;blend=f8f8f8&amp;bg=f8f8f8&amp;auto=format&amp;w=600&amp;q=50&amp;h=600" TargetMode="External"/><Relationship Id="rId40" Type="http://schemas.openxmlformats.org/officeDocument/2006/relationships/hyperlink" Target="https://images.hermanmiller.group/m/4704d4d3bc253040/W-HAY_2515111_100181152_clavicle_birch_walnut_a.png?trim=auto&amp;trim-sd=1&amp;blend-mode=darken&amp;blend=f8f8f8&amp;bg=f8f8f8&amp;auto=format&amp;w=600&amp;q=50&amp;h=600" TargetMode="External"/><Relationship Id="rId45" Type="http://schemas.openxmlformats.org/officeDocument/2006/relationships/hyperlink" Target="https://images.hermanmiller.group/asset/b84baf40-5c68-427b-923f-25abca0f9116/W/DWR_2585681_100608411_signal_green_f1.png?trim=auto&amp;trim-sd=1&amp;blend-mode=darken&amp;blend=f8f8f8&amp;bg=f8f8f8&amp;auto=format&amp;w=600&amp;q=50&amp;h=600,https://images.hermanmiller.group/asset/27f3d383-69d3-46cf-8819-559473cbdadf/W/DWR_2585681_100608411_signal_green_f.png?trim=auto&amp;trim-sd=1&amp;blend-mode=darken&amp;blend=f8f8f8&amp;bg=f8f8f8&amp;auto=format&amp;w=600&amp;q=50&amp;h=600" TargetMode="External"/><Relationship Id="rId66" Type="http://schemas.openxmlformats.org/officeDocument/2006/relationships/hyperlink" Target="https://images.hermanmiller.group/m/68d3871517d8eb26/W-sw_HM_white_oak.png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wr.com/100538040.html" TargetMode="External"/><Relationship Id="rId21" Type="http://schemas.openxmlformats.org/officeDocument/2006/relationships/hyperlink" Target="https://images.hermanmiller.group/m/56d878e3152de1ed/W-sw_mode_lioness_rust.png" TargetMode="External"/><Relationship Id="rId42" Type="http://schemas.openxmlformats.org/officeDocument/2006/relationships/hyperlink" Target="https://images.hermanmiller.group/asset/90ca8257-6cbb-414d-8c2c-e25c3f9aea84/W/DWR_2585681_100608414_mustard_f1.png?trim=auto&amp;trim-sd=1&amp;blend-mode=darken&amp;blend=f8f8f8&amp;bg=f8f8f8&amp;auto=format&amp;w=600&amp;q=50&amp;h=600,https://images.hermanmiller.group/asset/22461c54-e443-47b9-a102-701b49167fe2/W/DWR_2585681_100608414_mustard_f.png?trim=auto&amp;trim-sd=1&amp;blend-mode=darken&amp;blend=f8f8f8&amp;bg=f8f8f8&amp;auto=format&amp;w=600&amp;q=50&amp;h=600" TargetMode="External"/><Relationship Id="rId47" Type="http://schemas.openxmlformats.org/officeDocument/2006/relationships/hyperlink" Target="https://www.dwr.com/100608415.html" TargetMode="External"/><Relationship Id="rId63" Type="http://schemas.openxmlformats.org/officeDocument/2006/relationships/hyperlink" Target="https://www.dwr.com/100559775.html" TargetMode="External"/><Relationship Id="rId68" Type="http://schemas.openxmlformats.org/officeDocument/2006/relationships/hyperlink" Target="https://images.hermanmiller.group/m/35da0f08ea0e6d42/W-sw_HM_wood_walnut_veneer_OU.png" TargetMode="External"/><Relationship Id="rId16" Type="http://schemas.openxmlformats.org/officeDocument/2006/relationships/hyperlink" Target="https://www.dwr.com/100177257.html" TargetMode="External"/><Relationship Id="rId11" Type="http://schemas.openxmlformats.org/officeDocument/2006/relationships/hyperlink" Target="https://images.hermanmiller.group/m/173d3295839e5744/W-8439_COLOR_sand.png" TargetMode="External"/><Relationship Id="rId32" Type="http://schemas.openxmlformats.org/officeDocument/2006/relationships/hyperlink" Target="https://images.hermanmiller.group/m/32515d299e7068bf/W-W-sw_generic_walnut.png" TargetMode="External"/><Relationship Id="rId37" Type="http://schemas.openxmlformats.org/officeDocument/2006/relationships/hyperlink" Target="https://www.dwr.com/100145046.html" TargetMode="External"/><Relationship Id="rId53" Type="http://schemas.openxmlformats.org/officeDocument/2006/relationships/hyperlink" Target="https://www.dwr.com/100072864.html" TargetMode="External"/><Relationship Id="rId58" Type="http://schemas.openxmlformats.org/officeDocument/2006/relationships/hyperlink" Target="https://images.hermanmiller.group/m/58464bca885139c3/W-DWR_2195845_100072872_white_f1.png?trim=auto&amp;trim-sd=1&amp;blend-mode=darken&amp;blend=f8f8f8&amp;bg=f8f8f8&amp;auto=format&amp;w=600&amp;q=50&amp;h=600,https://images.hermanmiller.group/m/cee549818547c05c/W-DWR_2195845_100072872_white_f.png?trim=auto&amp;trim-sd=1&amp;blend-mode=darken&amp;blend=f8f8f8&amp;bg=f8f8f8&amp;auto=format&amp;w=600&amp;q=50&amp;h=600" TargetMode="External"/><Relationship Id="rId74" Type="http://schemas.openxmlformats.org/officeDocument/2006/relationships/hyperlink" Target="https://images.hermanmiller.group/m/100476b60c8656fd/W-HM_2544056_100578875_ochre_sienna_oak_80_f.png?trim=auto&amp;trim-sd=1&amp;blend-mode=darken&amp;blend=f8f8f8&amp;bg=f8f8f8&amp;auto=format&amp;w=600&amp;q=50&amp;h=600,https://images.hermanmiller.group/m/5444409608714c56/W-HM_2544056_100578875_ochre_sienna_oak_80_a.png?trim=auto&amp;trim-sd=1&amp;blend-mode=darken&amp;blend=f8f8f8&amp;bg=f8f8f8&amp;auto=format&amp;w=600&amp;q=50&amp;h=600,https://images.hermanmiller.group/m/0b10a322cf026f25/W-HM_2544056_100578875_ochre_sienna_oak_80_p.png?trim=auto&amp;trim-sd=1&amp;blend-mode=darken&amp;blend=f8f8f8&amp;bg=f8f8f8&amp;auto=format&amp;w=600&amp;q=50&amp;h=600,https://images.hermanmiller.group/m/5798afbed744315a/W-HM_2544056_100578875_ochre_sienna_oak_80_b.png?trim=auto&amp;trim-sd=1&amp;blend-mode=darken&amp;blend=f8f8f8&amp;bg=f8f8f8&amp;auto=format&amp;w=600&amp;q=50&amp;h=600,https://images.hermanmiller.group/m/26e43b0c5bb14440/W-HM_2544056_100578875_ochre_sienna_oak_80_d1.png?trim=auto&amp;trim-sd=1&amp;blend-mode=darken&amp;blend=f8f8f8&amp;bg=f8f8f8&amp;auto=format&amp;w=600&amp;q=50&amp;h=600" TargetMode="External"/><Relationship Id="rId79" Type="http://schemas.openxmlformats.org/officeDocument/2006/relationships/hyperlink" Target="https://www.dwr.com/100656795.html" TargetMode="External"/><Relationship Id="rId5" Type="http://schemas.openxmlformats.org/officeDocument/2006/relationships/hyperlink" Target="https://images.hermanmiller.group/m/5541f3cb7f4a09b9/W-DWR_3773_100596554_cypress_green_f.png?trim=auto&amp;trim-sd=1&amp;blend-mode=darken&amp;blend=f8f8f8&amp;bg=f8f8f8&amp;auto=format&amp;w=600&amp;q=50&amp;h=600,https://images.hermanmiller.group/m/17aa88738929f830/W-DWR_3773_100596554_cypress_green_a.png?trim=auto&amp;trim-sd=1&amp;blend-mode=darken&amp;blend=f8f8f8&amp;bg=f8f8f8&amp;auto=format&amp;w=600&amp;q=50&amp;h=600" TargetMode="External"/><Relationship Id="rId61" Type="http://schemas.openxmlformats.org/officeDocument/2006/relationships/hyperlink" Target="https://www.dwr.com/100559774.html" TargetMode="External"/><Relationship Id="rId82" Type="http://schemas.openxmlformats.org/officeDocument/2006/relationships/hyperlink" Target="https://images.hermanmiller.group/asset/fe9c66aa-b072-4275-aaec-8fdeba8babaa/W/DWR_2589636_100657244_trope_black_a.png?trim=auto&amp;trim-sd=1&amp;blend-mode=darken&amp;blend=f8f8f8&amp;bg=f8f8f8&amp;auto=format&amp;w=600&amp;q=50&amp;h=600" TargetMode="External"/><Relationship Id="rId19" Type="http://schemas.openxmlformats.org/officeDocument/2006/relationships/hyperlink" Target="https://images.hermanmiller.group/m/173d3295839e5744/W-8439_COLOR_sand.png" TargetMode="External"/><Relationship Id="rId14" Type="http://schemas.openxmlformats.org/officeDocument/2006/relationships/hyperlink" Target="https://images.hermanmiller.group/asset/e9ee858f-1ae1-4073-867a-8e02bf991e7e/W/MTO_Kink_vase_26_deep_red_muuto_hi_res-tif.png?trim=auto&amp;trim-sd=1&amp;blend-mode=darken&amp;blend=f8f8f8&amp;bg=f8f8f8&amp;auto=format&amp;w=600&amp;q=50&amp;h=600" TargetMode="External"/><Relationship Id="rId22" Type="http://schemas.openxmlformats.org/officeDocument/2006/relationships/hyperlink" Target="https://images.hermanmiller.group/m/ee96bca4594e25e1/W-DWR_2555542_100538042_saltwater_eucalyptus_f.png?trim=auto&amp;trim-sd=1&amp;blend-mode=darken&amp;blend=f8f8f8&amp;bg=f8f8f8&amp;auto=format&amp;w=600&amp;q=50&amp;h=600,https://images.hermanmiller.group/m/a34aaf70bf2bd566/W-DWR_2555542_100538042_saltwater_eucalyptus_b.png?trim=auto&amp;trim-sd=1&amp;blend-mode=darken&amp;blend=f8f8f8&amp;bg=f8f8f8&amp;auto=format&amp;w=600&amp;q=50&amp;h=600" TargetMode="External"/><Relationship Id="rId27" Type="http://schemas.openxmlformats.org/officeDocument/2006/relationships/hyperlink" Target="https://images.hermanmiller.group/m/52b7d81d68bcea54/W-DWR_2555542_100538037_lioness_rust_f.png?trim=auto&amp;trim-sd=1&amp;blend-mode=darken&amp;blend=f8f8f8&amp;bg=f8f8f8&amp;auto=format&amp;w=600&amp;q=50&amp;h=600,https://images.hermanmiller.group/m/97a874afda34b955/W-DWR_2555542_100538037_lioness_rust_b.png?trim=auto&amp;trim-sd=1&amp;blend-mode=darken&amp;blend=f8f8f8&amp;bg=f8f8f8&amp;auto=format&amp;w=600&amp;q=50&amp;h=600" TargetMode="External"/><Relationship Id="rId30" Type="http://schemas.openxmlformats.org/officeDocument/2006/relationships/hyperlink" Target="https://images.hermanmiller.group/m/1ac2f579d3d7dce1/W-sw_generic_oak.png" TargetMode="External"/><Relationship Id="rId35" Type="http://schemas.openxmlformats.org/officeDocument/2006/relationships/hyperlink" Target="https://images.hermanmiller.group/m/52e3b6686cc746f5/W-sw_knoll_iseo_light-grey.png" TargetMode="External"/><Relationship Id="rId43" Type="http://schemas.openxmlformats.org/officeDocument/2006/relationships/hyperlink" Target="https://images.hermanmiller.group/asset/37fef664-13d2-46e3-8926-ac73ec802ce6/W/sw_ameico_mustard.png" TargetMode="External"/><Relationship Id="rId48" Type="http://schemas.openxmlformats.org/officeDocument/2006/relationships/hyperlink" Target="https://images.hermanmiller.group/asset/2d1f0cb7-20df-444f-a7e3-13c148242151/W/DWR_2585681_100608415_stone_blue_f.png?trim=auto&amp;trim-sd=1&amp;blend-mode=darken&amp;blend=f8f8f8&amp;bg=f8f8f8&amp;auto=format&amp;w=600&amp;q=50&amp;h=600" TargetMode="External"/><Relationship Id="rId56" Type="http://schemas.openxmlformats.org/officeDocument/2006/relationships/hyperlink" Target="https://images.hermanmiller.group/m/64d64d767043b383/W-sw_woodard_black_metal-tif.png" TargetMode="External"/><Relationship Id="rId64" Type="http://schemas.openxmlformats.org/officeDocument/2006/relationships/hyperlink" Target="https://images.hermanmiller.group/m/7ed6c0783088d4bc/W-HM_2544155_100559775_retrospect_walnut_f-tif.png?trim=auto&amp;trim-sd=1&amp;blend-mode=darken&amp;blend=f8f8f8&amp;bg=f8f8f8&amp;auto=format&amp;w=600&amp;q=50&amp;h=600" TargetMode="External"/><Relationship Id="rId69" Type="http://schemas.openxmlformats.org/officeDocument/2006/relationships/hyperlink" Target="https://www.dwr.com/100559923.html" TargetMode="External"/><Relationship Id="rId77" Type="http://schemas.openxmlformats.org/officeDocument/2006/relationships/hyperlink" Target="https://www.dwr.com/100656809.html" TargetMode="External"/><Relationship Id="rId8" Type="http://schemas.openxmlformats.org/officeDocument/2006/relationships/hyperlink" Target="https://images.hermanmiller.group/m/24f21fe118703fc3/W-DWR_3845_655422_bronze_f_v4.png?trim=auto&amp;trim-sd=1&amp;blend-mode=darken&amp;blend=f8f8f8&amp;bg=f8f8f8&amp;auto=format&amp;w=600&amp;q=50&amp;h=600" TargetMode="External"/><Relationship Id="rId51" Type="http://schemas.openxmlformats.org/officeDocument/2006/relationships/hyperlink" Target="https://images.hermanmiller.group/asset/86c7ab08-d48f-49f4-85b8-10d9bcc4ef2a/W/DWR_2585681_100608512_swim_blue_f1.png?trim=auto&amp;trim-sd=1&amp;blend-mode=darken&amp;blend=f8f8f8&amp;bg=f8f8f8&amp;auto=format&amp;w=600&amp;q=50&amp;h=600,https://images.hermanmiller.group/asset/f35a3ef5-c186-492f-b86d-1aee79f7a931/W/DWR_2585681_100608512_swim_blue_f.png?trim=auto&amp;trim-sd=1&amp;blend-mode=darken&amp;blend=f8f8f8&amp;bg=f8f8f8&amp;auto=format&amp;w=600&amp;q=50&amp;h=600" TargetMode="External"/><Relationship Id="rId72" Type="http://schemas.openxmlformats.org/officeDocument/2006/relationships/hyperlink" Target="https://images.hermanmiller.group/m/890d3fd15b25dc8c/W-HM_2544056_100559924_retrospect_walnut_f-tif.png?trim=auto&amp;trim-sd=1&amp;blend-mode=darken&amp;blend=f8f8f8&amp;bg=f8f8f8&amp;auto=format&amp;w=600&amp;q=50&amp;h=600" TargetMode="External"/><Relationship Id="rId80" Type="http://schemas.openxmlformats.org/officeDocument/2006/relationships/hyperlink" Target="https://images.hermanmiller.group/asset/1dbecaca-d9a2-4094-bc49-7142a459f164/W/DWR_2589634_100656795_trope_black_a.png?trim=auto&amp;trim-sd=1&amp;blend-mode=darken&amp;blend=f8f8f8&amp;bg=f8f8f8&amp;auto=format&amp;w=600&amp;q=50&amp;h=600,https://images.hermanmiller.group/asset/87463b5a-f1fe-400d-9f4a-b51cddfb3464/W/DWR_2589634_100656795_trope_black_f.png?trim=auto&amp;trim-sd=1&amp;blend-mode=darken&amp;blend=f8f8f8&amp;bg=f8f8f8&amp;auto=format&amp;w=600&amp;q=50&amp;h=600" TargetMode="External"/><Relationship Id="rId3" Type="http://schemas.openxmlformats.org/officeDocument/2006/relationships/hyperlink" Target="https://images.hermanmiller.group/m/1b04cb5cd699f245/W-sw_knoll_iseo_bordeaux.png" TargetMode="External"/><Relationship Id="rId12" Type="http://schemas.openxmlformats.org/officeDocument/2006/relationships/hyperlink" Target="https://images.hermanmiller.group/m/173d3295839e5744/W-8439_COLOR_sand.png" TargetMode="External"/><Relationship Id="rId17" Type="http://schemas.openxmlformats.org/officeDocument/2006/relationships/hyperlink" Target="https://images.hermanmiller.group/m/dc80b56311cfb48a/W-MTO_2518291_100177257_sand_f.png?trim=auto&amp;trim-sd=1&amp;blend-mode=darken&amp;blend=f8f8f8&amp;bg=f8f8f8&amp;auto=format&amp;w=600&amp;q=50&amp;h=600,https://images.hermanmiller.group/m/9b55acb44cc3c7f7/W-MTO_2518291_100177257_sand_a.png?trim=auto&amp;trim-sd=1&amp;blend-mode=darken&amp;blend=f8f8f8&amp;bg=f8f8f8&amp;auto=format&amp;w=600&amp;q=50&amp;h=600" TargetMode="External"/><Relationship Id="rId25" Type="http://schemas.openxmlformats.org/officeDocument/2006/relationships/hyperlink" Target="https://images.hermanmiller.group/m/5e978bf5e57db663/W-sw_mode_saltwater_jetty.png" TargetMode="External"/><Relationship Id="rId33" Type="http://schemas.openxmlformats.org/officeDocument/2006/relationships/hyperlink" Target="https://www.dwr.com/100168671.html" TargetMode="External"/><Relationship Id="rId38" Type="http://schemas.openxmlformats.org/officeDocument/2006/relationships/hyperlink" Target="https://images.hermanmiller.group/m/72f3eac1bc0cd041/W-HAY_2515111_100145046_divina_691_remix_692_walnut_f.png?trim=auto&amp;trim-sd=1&amp;blend-mode=darken&amp;blend=f8f8f8&amp;bg=f8f8f8&amp;auto=format&amp;w=600&amp;q=50&amp;h=600,https://images.hermanmiller.group/m/e795ddb8c0b91fd9/W-HAY_2515111_100145046_divina_691_remix_692_walnut_a.png?trim=auto&amp;trim-sd=1&amp;blend-mode=darken&amp;blend=f8f8f8&amp;bg=f8f8f8&amp;auto=format&amp;w=600&amp;q=50&amp;h=600,https://images.hermanmiller.group/m/b92504418aa1b376/W-HAY_2515111_100145046_divina_691_remix_692_walnut_p.png?trim=auto&amp;trim-sd=1&amp;blend-mode=darken&amp;blend=f8f8f8&amp;bg=f8f8f8&amp;auto=format&amp;w=600&amp;q=50&amp;h=600" TargetMode="External"/><Relationship Id="rId46" Type="http://schemas.openxmlformats.org/officeDocument/2006/relationships/hyperlink" Target="https://images.hermanmiller.group/asset/aeb46efd-ce33-4ebd-a966-45f79d8d0abc/W/sw_ameico_signal_green.png" TargetMode="External"/><Relationship Id="rId59" Type="http://schemas.openxmlformats.org/officeDocument/2006/relationships/hyperlink" Target="https://images.hermanmiller.group/m/997eb4a8dbd541c0/W-sw_woodard_white_cushion-tif.png" TargetMode="External"/><Relationship Id="rId67" Type="http://schemas.openxmlformats.org/officeDocument/2006/relationships/hyperlink" Target="https://www.dwr.com/100661719.html" TargetMode="External"/><Relationship Id="rId20" Type="http://schemas.openxmlformats.org/officeDocument/2006/relationships/hyperlink" Target="https://images.hermanmiller.group/m/0ecccd612804f38a/W-DWR_2555542_100538043_lioness_rust_f.png?trim=auto&amp;trim-sd=1&amp;blend-mode=darken&amp;blend=f8f8f8&amp;bg=f8f8f8&amp;auto=format&amp;w=600&amp;q=50&amp;h=600,https://images.hermanmiller.group/m/cbab7bd0dd5ac09f/W-DWR_2555542_100538043_lioness_rust_b.png?trim=auto&amp;trim-sd=1&amp;blend-mode=darken&amp;blend=f8f8f8&amp;bg=f8f8f8&amp;auto=format&amp;w=600&amp;q=50&amp;h=600" TargetMode="External"/><Relationship Id="rId41" Type="http://schemas.openxmlformats.org/officeDocument/2006/relationships/hyperlink" Target="https://www.dwr.com/100608414.html" TargetMode="External"/><Relationship Id="rId54" Type="http://schemas.openxmlformats.org/officeDocument/2006/relationships/hyperlink" Target="https://images.hermanmiller.group/m/e8daf7224dcc744c/W-DWR_2195841_100072864_black_f.png?trim=auto&amp;trim-sd=1&amp;blend-mode=darken&amp;blend=f8f8f8&amp;bg=f8f8f8&amp;auto=format&amp;w=600&amp;q=50&amp;h=600,https://images.hermanmiller.group/m/5eba0caf9552ca7b/W-DWR_2195841_100072866_red_orange_a.png?trim=auto&amp;trim-sd=1&amp;blend-mode=darken&amp;blend=f8f8f8&amp;bg=f8f8f8&amp;auto=format&amp;w=600&amp;q=50&amp;h=600,https://images.hermanmiller.group/m/cd749113b7b28087/W-DWR_2195841_100072864_black_a.png?trim=auto&amp;trim-sd=1&amp;blend-mode=darken&amp;blend=f8f8f8&amp;bg=f8f8f8&amp;auto=format&amp;w=600&amp;q=50&amp;h=600,https://images.hermanmiller.group/m/a8d0f219e4aee34b/W-DWR_2195841_100072864_black_p.png?trim=auto&amp;trim-sd=1&amp;blend-mode=darken&amp;blend=f8f8f8&amp;bg=f8f8f8&amp;auto=format&amp;w=600&amp;q=50&amp;h=600,https://images.hermanmiller.group/m/b27a6e3fe3d2e42c/W-DWR_2195841_100072864_black_b.png?trim=auto&amp;trim-sd=1&amp;blend-mode=darken&amp;blend=f8f8f8&amp;bg=f8f8f8&amp;auto=format&amp;w=600&amp;q=50&amp;h=600" TargetMode="External"/><Relationship Id="rId62" Type="http://schemas.openxmlformats.org/officeDocument/2006/relationships/hyperlink" Target="https://images.hermanmiller.group/m/42e89e0d414ecdff/W-HM_2544155_100559774_retrospect_oak_f-tif.png?trim=auto&amp;trim-sd=1&amp;blend-mode=darken&amp;blend=f8f8f8&amp;bg=f8f8f8&amp;auto=format&amp;w=600&amp;q=50&amp;h=600" TargetMode="External"/><Relationship Id="rId70" Type="http://schemas.openxmlformats.org/officeDocument/2006/relationships/hyperlink" Target="https://images.hermanmiller.group/m/637128ab0a7830a5/W-HM_2544056_100559923_retrospect_oak_f-tif.png?trim=auto&amp;trim-sd=1&amp;blend-mode=darken&amp;blend=f8f8f8&amp;bg=f8f8f8&amp;auto=format&amp;w=600&amp;q=50&amp;h=600" TargetMode="External"/><Relationship Id="rId75" Type="http://schemas.openxmlformats.org/officeDocument/2006/relationships/hyperlink" Target="https://www.dwr.com/100578777.html" TargetMode="External"/><Relationship Id="rId1" Type="http://schemas.openxmlformats.org/officeDocument/2006/relationships/hyperlink" Target="https://www.dwr.com/100596557.html" TargetMode="External"/><Relationship Id="rId6" Type="http://schemas.openxmlformats.org/officeDocument/2006/relationships/hyperlink" Target="https://images.hermanmiller.group/m/33662a910125ad55/W-COLOR_cypress_green.png" TargetMode="External"/><Relationship Id="rId15" Type="http://schemas.openxmlformats.org/officeDocument/2006/relationships/hyperlink" Target="https://images.hermanmiller.group/m/296b847dd49fe7f1/W-sw_muuto_deep-red_color_swatch.png" TargetMode="External"/><Relationship Id="rId23" Type="http://schemas.openxmlformats.org/officeDocument/2006/relationships/hyperlink" Target="https://images.hermanmiller.group/m/5e978bf5e57db663/W-sw_mode_saltwater_jetty.png" TargetMode="External"/><Relationship Id="rId28" Type="http://schemas.openxmlformats.org/officeDocument/2006/relationships/hyperlink" Target="https://images.hermanmiller.group/m/56d878e3152de1ed/W-sw_mode_lioness_rust.png" TargetMode="External"/><Relationship Id="rId36" Type="http://schemas.openxmlformats.org/officeDocument/2006/relationships/hyperlink" Target="https://images.hermanmiller.group/m/1744a6757a8da458/W-sw_fritz_hansen_colored_ash_light_grey.png" TargetMode="External"/><Relationship Id="rId49" Type="http://schemas.openxmlformats.org/officeDocument/2006/relationships/hyperlink" Target="https://images.hermanmiller.group/asset/e6d8c3e5-db74-4f99-bd0a-32fd1ce2b3ef/W/sw_ameico_stone_blue.png" TargetMode="External"/><Relationship Id="rId57" Type="http://schemas.openxmlformats.org/officeDocument/2006/relationships/hyperlink" Target="https://www.dwr.com/100072872.html" TargetMode="External"/><Relationship Id="rId10" Type="http://schemas.openxmlformats.org/officeDocument/2006/relationships/hyperlink" Target="https://images.hermanmiller.group/m/b0e0441bf31edaf9/W-MTO_kink_vase_39_sand_f-tif.png?trim=auto&amp;trim-sd=1&amp;blend-mode=darken&amp;blend=f8f8f8&amp;bg=f8f8f8&amp;auto=format&amp;w=600&amp;q=50&amp;h=600,https://images.hermanmiller.group/m/3a99261ca223af9f/W-MTO_kink_vase_39_sand_a-tif.png?trim=auto&amp;trim-sd=1&amp;blend-mode=darken&amp;blend=f8f8f8&amp;bg=f8f8f8&amp;auto=format&amp;w=600&amp;q=50&amp;h=600" TargetMode="External"/><Relationship Id="rId31" Type="http://schemas.openxmlformats.org/officeDocument/2006/relationships/hyperlink" Target="https://www.dwr.com/100642342.html" TargetMode="External"/><Relationship Id="rId44" Type="http://schemas.openxmlformats.org/officeDocument/2006/relationships/hyperlink" Target="https://www.dwr.com/100608411.html" TargetMode="External"/><Relationship Id="rId52" Type="http://schemas.openxmlformats.org/officeDocument/2006/relationships/hyperlink" Target="https://images.hermanmiller.group/asset/b8b193a3-edb1-429a-a403-dd7ea707d353/W/sw_ameico_swim_blue.png" TargetMode="External"/><Relationship Id="rId60" Type="http://schemas.openxmlformats.org/officeDocument/2006/relationships/hyperlink" Target="https://images.hermanmiller.group/m/997eb4a8dbd541c0/W-sw_woodard_white_cushion-tif.png" TargetMode="External"/><Relationship Id="rId65" Type="http://schemas.openxmlformats.org/officeDocument/2006/relationships/hyperlink" Target="https://www.dwr.com/100673417.html" TargetMode="External"/><Relationship Id="rId73" Type="http://schemas.openxmlformats.org/officeDocument/2006/relationships/hyperlink" Target="https://www.dwr.com/100578875.html" TargetMode="External"/><Relationship Id="rId78" Type="http://schemas.openxmlformats.org/officeDocument/2006/relationships/hyperlink" Target="https://images.hermanmiller.group/asset/deacaab0-b80f-44b7-be8e-28df0f625c81/W/DWR_2589635_100656809_trope_black_f.png?trim=auto&amp;trim-sd=1&amp;blend-mode=darken&amp;blend=f8f8f8&amp;bg=f8f8f8&amp;auto=format&amp;w=600&amp;q=50&amp;h=600,https://images.hermanmiller.group/asset/f4f84662-2078-4312-bbe8-e916e9f69214/W/DWR_2589635_100656809_trope_black_a.png?trim=auto&amp;trim-sd=1&amp;blend-mode=darken&amp;blend=f8f8f8&amp;bg=f8f8f8&amp;auto=format&amp;w=600&amp;q=50&amp;h=600" TargetMode="External"/><Relationship Id="rId81" Type="http://schemas.openxmlformats.org/officeDocument/2006/relationships/hyperlink" Target="https://www.dwr.com/100657244.html" TargetMode="External"/><Relationship Id="rId4" Type="http://schemas.openxmlformats.org/officeDocument/2006/relationships/hyperlink" Target="https://www.dwr.com/100596554.html" TargetMode="External"/><Relationship Id="rId9" Type="http://schemas.openxmlformats.org/officeDocument/2006/relationships/hyperlink" Target="https://www.dwr.com/100658330.html" TargetMode="External"/><Relationship Id="rId13" Type="http://schemas.openxmlformats.org/officeDocument/2006/relationships/hyperlink" Target="https://www.dwr.com/100658328.html" TargetMode="External"/><Relationship Id="rId18" Type="http://schemas.openxmlformats.org/officeDocument/2006/relationships/hyperlink" Target="https://images.hermanmiller.group/m/173d3295839e5744/W-8439_COLOR_sand.png" TargetMode="External"/><Relationship Id="rId39" Type="http://schemas.openxmlformats.org/officeDocument/2006/relationships/hyperlink" Target="https://www.dwr.com/100181152.html" TargetMode="External"/><Relationship Id="rId34" Type="http://schemas.openxmlformats.org/officeDocument/2006/relationships/hyperlink" Target="https://images.hermanmiller.group/m/acbce1982889e42f/W-DWR_2516240_100168671_light_grey_f.png?trim=auto&amp;trim-sd=1&amp;blend-mode=darken&amp;blend=f8f8f8&amp;bg=f8f8f8&amp;auto=format&amp;w=600&amp;q=50&amp;h=600" TargetMode="External"/><Relationship Id="rId50" Type="http://schemas.openxmlformats.org/officeDocument/2006/relationships/hyperlink" Target="https://www.dwr.com/100608512.html" TargetMode="External"/><Relationship Id="rId55" Type="http://schemas.openxmlformats.org/officeDocument/2006/relationships/hyperlink" Target="https://images.hermanmiller.group/m/64d64d767043b383/W-sw_woodard_black_metal-tif.png" TargetMode="External"/><Relationship Id="rId76" Type="http://schemas.openxmlformats.org/officeDocument/2006/relationships/hyperlink" Target="https://images.hermanmiller.group/m/f00496b2a80e9e45/W-HM_2544056_100578777_ochre_sienna_walnut_80_f.png?trim=auto&amp;trim-sd=1&amp;blend-mode=darken&amp;blend=f8f8f8&amp;bg=f8f8f8&amp;auto=format&amp;w=600&amp;q=50&amp;h=600" TargetMode="External"/><Relationship Id="rId7" Type="http://schemas.openxmlformats.org/officeDocument/2006/relationships/hyperlink" Target="https://www.dwr.com/655422.html" TargetMode="External"/><Relationship Id="rId71" Type="http://schemas.openxmlformats.org/officeDocument/2006/relationships/hyperlink" Target="https://www.dwr.com/100559924.html" TargetMode="External"/><Relationship Id="rId2" Type="http://schemas.openxmlformats.org/officeDocument/2006/relationships/hyperlink" Target="https://images.hermanmiller.group/m/c08be6ee672d709/W-DWR_3773_100596557_bordeaux_f.png?trim=auto&amp;trim-sd=1&amp;blend-mode=darken&amp;blend=f8f8f8&amp;bg=f8f8f8&amp;auto=format&amp;w=600&amp;q=50&amp;h=600,https://images.hermanmiller.group/m/5687626852d66cf/W-DWR_3773_100596557_bordeaux_a.png?trim=auto&amp;trim-sd=1&amp;blend-mode=darken&amp;blend=f8f8f8&amp;bg=f8f8f8&amp;auto=format&amp;w=600&amp;q=50&amp;h=600,https://images.hermanmiller.group/m/1ed3fc52ddf52fa9/W-DWR_3773_100596557_bordeaux_b.png?trim=auto&amp;trim-sd=1&amp;blend-mode=darken&amp;blend=f8f8f8&amp;bg=f8f8f8&amp;auto=format&amp;w=600&amp;q=50&amp;h=600" TargetMode="External"/><Relationship Id="rId29" Type="http://schemas.openxmlformats.org/officeDocument/2006/relationships/hyperlink" Target="https://www.dwr.com/100642343.html" TargetMode="External"/><Relationship Id="rId24" Type="http://schemas.openxmlformats.org/officeDocument/2006/relationships/hyperlink" Target="https://images.hermanmiller.group/m/af48e49dda7b62a0/W-DWR_2555542_100538036_saltwater_eucalyptus_f.png?trim=auto&amp;trim-sd=1&amp;blend-mode=darken&amp;blend=f8f8f8&amp;bg=f8f8f8&amp;auto=format&amp;w=600&amp;q=50&amp;h=600,https://images.hermanmiller.group/m/d57874c0ab920d8e/W-DWR_2555542_100538036_saltwater_eucalyptus_b.png?trim=auto&amp;trim-sd=1&amp;blend-mode=darken&amp;blend=f8f8f8&amp;bg=f8f8f8&amp;auto=format&amp;w=600&amp;q=50&amp;h=600" TargetMode="External"/><Relationship Id="rId40" Type="http://schemas.openxmlformats.org/officeDocument/2006/relationships/hyperlink" Target="https://images.hermanmiller.group/m/4704d4d3bc253040/W-HAY_2515111_100181152_clavicle_birch_walnut_a.png?trim=auto&amp;trim-sd=1&amp;blend-mode=darken&amp;blend=f8f8f8&amp;bg=f8f8f8&amp;auto=format&amp;w=600&amp;q=50&amp;h=600" TargetMode="External"/><Relationship Id="rId45" Type="http://schemas.openxmlformats.org/officeDocument/2006/relationships/hyperlink" Target="https://images.hermanmiller.group/asset/b84baf40-5c68-427b-923f-25abca0f9116/W/DWR_2585681_100608411_signal_green_f1.png?trim=auto&amp;trim-sd=1&amp;blend-mode=darken&amp;blend=f8f8f8&amp;bg=f8f8f8&amp;auto=format&amp;w=600&amp;q=50&amp;h=600,https://images.hermanmiller.group/asset/27f3d383-69d3-46cf-8819-559473cbdadf/W/DWR_2585681_100608411_signal_green_f.png?trim=auto&amp;trim-sd=1&amp;blend-mode=darken&amp;blend=f8f8f8&amp;bg=f8f8f8&amp;auto=format&amp;w=600&amp;q=50&amp;h=600" TargetMode="External"/><Relationship Id="rId66" Type="http://schemas.openxmlformats.org/officeDocument/2006/relationships/hyperlink" Target="https://images.hermanmiller.group/m/68d3871517d8eb26/W-sw_HM_white_oak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934D-8130-44B2-8540-DE47CB3BE017}">
  <sheetPr>
    <outlinePr summaryBelow="0" summaryRight="0"/>
  </sheetPr>
  <dimension ref="A1:AC789"/>
  <sheetViews>
    <sheetView tabSelected="1" workbookViewId="0">
      <selection activeCell="G10" sqref="G10"/>
    </sheetView>
  </sheetViews>
  <sheetFormatPr defaultColWidth="12.5703125" defaultRowHeight="15.75" customHeight="1" x14ac:dyDescent="0.2"/>
  <cols>
    <col min="1" max="1" width="9" customWidth="1"/>
    <col min="2" max="2" width="10" bestFit="1" customWidth="1"/>
    <col min="3" max="3" width="51.140625" customWidth="1"/>
    <col min="4" max="4" width="23.42578125" customWidth="1"/>
    <col min="5" max="5" width="22.42578125" customWidth="1"/>
    <col min="6" max="6" width="15.42578125" customWidth="1"/>
    <col min="7" max="7" width="25.42578125" customWidth="1"/>
    <col min="8" max="8" width="28.5703125" customWidth="1"/>
    <col min="9" max="9" width="31.42578125" customWidth="1"/>
    <col min="27" max="27" width="89" bestFit="1" customWidth="1"/>
  </cols>
  <sheetData>
    <row r="1" spans="1:2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296</v>
      </c>
      <c r="AB1" s="14" t="s">
        <v>315</v>
      </c>
      <c r="AC1" s="2" t="s">
        <v>316</v>
      </c>
    </row>
    <row r="2" spans="1:29" x14ac:dyDescent="0.2">
      <c r="A2" s="4" t="e">
        <f ca="1">HYPERLINK(I2,_xludf.IMAGE(I2))</f>
        <v>#VALUE!</v>
      </c>
      <c r="B2" s="5">
        <v>100596554</v>
      </c>
      <c r="C2" s="5" t="s">
        <v>41</v>
      </c>
      <c r="D2" s="5" t="s">
        <v>27</v>
      </c>
      <c r="E2" s="5" t="s">
        <v>28</v>
      </c>
      <c r="F2" s="5" t="s">
        <v>28</v>
      </c>
      <c r="G2" s="6" t="s">
        <v>29</v>
      </c>
      <c r="H2" s="7" t="s">
        <v>42</v>
      </c>
      <c r="I2" s="8" t="s">
        <v>43</v>
      </c>
      <c r="J2" s="5" t="s">
        <v>32</v>
      </c>
      <c r="K2" s="5" t="s">
        <v>33</v>
      </c>
      <c r="L2" s="5" t="s">
        <v>34</v>
      </c>
      <c r="M2" s="5" t="s">
        <v>44</v>
      </c>
      <c r="N2" s="5"/>
      <c r="O2" s="5"/>
      <c r="P2" s="5"/>
      <c r="Q2" s="5"/>
      <c r="R2" s="5"/>
      <c r="S2" s="5" t="s">
        <v>36</v>
      </c>
      <c r="T2" s="5" t="s">
        <v>37</v>
      </c>
      <c r="U2" s="5" t="s">
        <v>45</v>
      </c>
      <c r="V2" s="7" t="s">
        <v>46</v>
      </c>
      <c r="W2" s="5"/>
      <c r="X2" s="5"/>
      <c r="Y2" s="5" t="s">
        <v>40</v>
      </c>
      <c r="Z2" s="9">
        <v>45545</v>
      </c>
      <c r="AA2" t="str">
        <f t="shared" ref="AA2:AA33" si="0">D2 &amp;" | "&amp; G2</f>
        <v>111 Navy Chair | 34" H 15½" W 19½" D</v>
      </c>
      <c r="AB2" s="13" t="s">
        <v>297</v>
      </c>
      <c r="AC2" t="str">
        <f>_xlfn.TEXTJOIN(", ",TRUE,
IF(J2&lt;&gt;"",""&amp;J2&amp;" = "&amp;K2,""),
IF(L2&lt;&gt;"",""&amp;L2&amp;" = "&amp;M2,""),
IF(N2&lt;&gt;"",""&amp;N2&amp;" = "&amp;O2,""),
IF(P2&lt;&gt;"",""&amp;P2&amp;" = "&amp;Q2,"")
)</f>
        <v>Configuration = Side Chair, Color = Cypress Green</v>
      </c>
    </row>
    <row r="3" spans="1:29" x14ac:dyDescent="0.2">
      <c r="A3" s="4" t="e">
        <f ca="1">HYPERLINK(I3,_xludf.IMAGE(I3))</f>
        <v>#VALUE!</v>
      </c>
      <c r="B3" s="5">
        <v>100596557</v>
      </c>
      <c r="C3" s="5" t="s">
        <v>26</v>
      </c>
      <c r="D3" s="5" t="s">
        <v>27</v>
      </c>
      <c r="E3" s="5" t="s">
        <v>28</v>
      </c>
      <c r="F3" s="5" t="s">
        <v>28</v>
      </c>
      <c r="G3" s="6" t="s">
        <v>29</v>
      </c>
      <c r="H3" s="7" t="s">
        <v>30</v>
      </c>
      <c r="I3" s="8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/>
      <c r="O3" s="5"/>
      <c r="P3" s="5"/>
      <c r="Q3" s="5"/>
      <c r="R3" s="5"/>
      <c r="S3" s="5" t="s">
        <v>36</v>
      </c>
      <c r="T3" s="5" t="s">
        <v>37</v>
      </c>
      <c r="U3" s="5" t="s">
        <v>38</v>
      </c>
      <c r="V3" s="7" t="s">
        <v>39</v>
      </c>
      <c r="W3" s="5"/>
      <c r="X3" s="5"/>
      <c r="Y3" s="5" t="s">
        <v>40</v>
      </c>
      <c r="Z3" s="9">
        <v>45545</v>
      </c>
      <c r="AA3" t="str">
        <f t="shared" si="0"/>
        <v>111 Navy Chair | 34" H 15½" W 19½" D</v>
      </c>
      <c r="AB3" s="13" t="s">
        <v>297</v>
      </c>
      <c r="AC3" t="str">
        <f t="shared" ref="AC3:AC33" si="1">_xlfn.TEXTJOIN(", ",TRUE,
IF(J3&lt;&gt;"",""&amp;J3&amp;" = "&amp;K3,""),
IF(L3&lt;&gt;"",""&amp;L3&amp;" = "&amp;M3,""),
IF(N3&lt;&gt;"",""&amp;N3&amp;" = "&amp;O3,""),
IF(P3&lt;&gt;"",""&amp;P3&amp;" = "&amp;Q3,"")
)</f>
        <v>Configuration = Side Chair, Color = Bordeaux</v>
      </c>
    </row>
    <row r="4" spans="1:29" x14ac:dyDescent="0.2">
      <c r="A4" s="4" t="e">
        <f ca="1">HYPERLINK(I4,_xludf.IMAGE(I4))</f>
        <v>#VALUE!</v>
      </c>
      <c r="B4" s="5">
        <v>100656809</v>
      </c>
      <c r="C4" s="5" t="s">
        <v>273</v>
      </c>
      <c r="D4" s="5" t="s">
        <v>274</v>
      </c>
      <c r="E4" s="5" t="s">
        <v>86</v>
      </c>
      <c r="F4" s="5" t="s">
        <v>275</v>
      </c>
      <c r="G4" s="6" t="s">
        <v>276</v>
      </c>
      <c r="H4" s="7" t="s">
        <v>277</v>
      </c>
      <c r="I4" s="8" t="s">
        <v>278</v>
      </c>
      <c r="J4" s="5" t="s">
        <v>279</v>
      </c>
      <c r="K4" s="5" t="s">
        <v>193</v>
      </c>
      <c r="L4" s="5" t="s">
        <v>217</v>
      </c>
      <c r="M4" s="5" t="s">
        <v>280</v>
      </c>
      <c r="N4" s="5" t="s">
        <v>34</v>
      </c>
      <c r="O4" s="5" t="s">
        <v>281</v>
      </c>
      <c r="P4" s="5"/>
      <c r="Q4" s="5"/>
      <c r="R4" s="5"/>
      <c r="S4" s="5" t="s">
        <v>282</v>
      </c>
      <c r="T4" s="5" t="s">
        <v>283</v>
      </c>
      <c r="U4" s="5" t="s">
        <v>284</v>
      </c>
      <c r="V4" s="5"/>
      <c r="W4" s="5"/>
      <c r="X4" s="5"/>
      <c r="Y4" s="5" t="s">
        <v>148</v>
      </c>
      <c r="Z4" s="10">
        <v>45776</v>
      </c>
      <c r="AA4" t="str">
        <f t="shared" si="0"/>
        <v>Blis Ottoman | 16⅝" H 22½" W 22½" D</v>
      </c>
      <c r="AB4" s="13" t="s">
        <v>298</v>
      </c>
      <c r="AC4" t="str">
        <f t="shared" si="1"/>
        <v>Frame Finish = Black, Upholstery = Oxbow, Color = Trope</v>
      </c>
    </row>
    <row r="5" spans="1:29" x14ac:dyDescent="0.2">
      <c r="A5" s="4" t="e">
        <f ca="1">HYPERLINK(I5,_xludf.IMAGE(I5))</f>
        <v>#VALUE!</v>
      </c>
      <c r="B5" s="5">
        <v>100656795</v>
      </c>
      <c r="C5" s="5" t="s">
        <v>285</v>
      </c>
      <c r="D5" s="5" t="s">
        <v>286</v>
      </c>
      <c r="E5" s="5" t="s">
        <v>86</v>
      </c>
      <c r="F5" s="5" t="s">
        <v>275</v>
      </c>
      <c r="G5" s="6" t="s">
        <v>287</v>
      </c>
      <c r="H5" s="7" t="s">
        <v>288</v>
      </c>
      <c r="I5" s="8" t="s">
        <v>289</v>
      </c>
      <c r="J5" s="5" t="s">
        <v>279</v>
      </c>
      <c r="K5" s="5" t="s">
        <v>193</v>
      </c>
      <c r="L5" s="5" t="s">
        <v>217</v>
      </c>
      <c r="M5" s="5" t="s">
        <v>280</v>
      </c>
      <c r="N5" s="5" t="s">
        <v>34</v>
      </c>
      <c r="O5" s="5" t="s">
        <v>281</v>
      </c>
      <c r="P5" s="5"/>
      <c r="Q5" s="5"/>
      <c r="R5" s="5"/>
      <c r="S5" s="5" t="s">
        <v>282</v>
      </c>
      <c r="T5" s="5" t="s">
        <v>221</v>
      </c>
      <c r="U5" s="5" t="s">
        <v>290</v>
      </c>
      <c r="V5" s="5"/>
      <c r="W5" s="5"/>
      <c r="X5" s="5"/>
      <c r="Y5" s="5" t="s">
        <v>148</v>
      </c>
      <c r="Z5" s="10">
        <v>45776</v>
      </c>
      <c r="AA5" t="str">
        <f t="shared" si="0"/>
        <v>Blis Swivel Chair | 34¼" H 30¾" W 30" D</v>
      </c>
      <c r="AB5" s="13" t="s">
        <v>299</v>
      </c>
      <c r="AC5" t="str">
        <f t="shared" si="1"/>
        <v>Frame Finish = Black, Upholstery = Oxbow, Color = Trope</v>
      </c>
    </row>
    <row r="6" spans="1:29" x14ac:dyDescent="0.2">
      <c r="A6" s="4" t="e">
        <f ca="1">HYPERLINK(I6,_xludf.IMAGE(I6))</f>
        <v>#NAME?</v>
      </c>
      <c r="B6" s="5">
        <v>100657244</v>
      </c>
      <c r="C6" s="5" t="s">
        <v>291</v>
      </c>
      <c r="D6" s="5" t="s">
        <v>292</v>
      </c>
      <c r="E6" s="5" t="s">
        <v>86</v>
      </c>
      <c r="F6" s="5" t="s">
        <v>275</v>
      </c>
      <c r="G6" s="6" t="s">
        <v>293</v>
      </c>
      <c r="H6" s="7" t="s">
        <v>294</v>
      </c>
      <c r="I6" s="8" t="s">
        <v>295</v>
      </c>
      <c r="J6" s="5" t="s">
        <v>279</v>
      </c>
      <c r="K6" s="5" t="s">
        <v>193</v>
      </c>
      <c r="L6" s="5" t="s">
        <v>217</v>
      </c>
      <c r="M6" s="5" t="s">
        <v>280</v>
      </c>
      <c r="N6" s="5" t="s">
        <v>34</v>
      </c>
      <c r="O6" s="5" t="s">
        <v>281</v>
      </c>
      <c r="P6" s="5"/>
      <c r="Q6" s="5"/>
      <c r="R6" s="5"/>
      <c r="S6" s="5" t="s">
        <v>282</v>
      </c>
      <c r="T6" s="5" t="s">
        <v>283</v>
      </c>
      <c r="U6" s="5"/>
      <c r="V6" s="5"/>
      <c r="W6" s="5"/>
      <c r="X6" s="5"/>
      <c r="Y6" s="5" t="s">
        <v>148</v>
      </c>
      <c r="Z6" s="10">
        <v>45776</v>
      </c>
      <c r="AA6" t="str">
        <f t="shared" si="0"/>
        <v>Blis Swivel Chair and Ottoman | Chair:34¼" H 30¾" W 30" D Chair:16⅝" H Chair:22½" W Chair:22½" D</v>
      </c>
      <c r="AB6" s="13" t="s">
        <v>300</v>
      </c>
      <c r="AC6" t="str">
        <f t="shared" si="1"/>
        <v>Frame Finish = Black, Upholstery = Oxbow, Color = Trope</v>
      </c>
    </row>
    <row r="7" spans="1:29" x14ac:dyDescent="0.2">
      <c r="A7" s="4" t="e">
        <f ca="1">HYPERLINK(I7,_xludf.IMAGE(I7))</f>
        <v>#NAME?</v>
      </c>
      <c r="B7" s="5">
        <v>100559774</v>
      </c>
      <c r="C7" s="5" t="s">
        <v>210</v>
      </c>
      <c r="D7" s="5" t="s">
        <v>211</v>
      </c>
      <c r="E7" s="5" t="s">
        <v>212</v>
      </c>
      <c r="F7" s="5" t="s">
        <v>213</v>
      </c>
      <c r="G7" s="6" t="s">
        <v>214</v>
      </c>
      <c r="H7" s="7" t="s">
        <v>215</v>
      </c>
      <c r="I7" s="8" t="s">
        <v>216</v>
      </c>
      <c r="J7" s="5" t="s">
        <v>217</v>
      </c>
      <c r="K7" s="5" t="s">
        <v>218</v>
      </c>
      <c r="L7" s="5" t="s">
        <v>34</v>
      </c>
      <c r="M7" s="5" t="s">
        <v>219</v>
      </c>
      <c r="N7" s="5" t="s">
        <v>143</v>
      </c>
      <c r="O7" s="5" t="s">
        <v>114</v>
      </c>
      <c r="P7" s="5"/>
      <c r="Q7" s="5"/>
      <c r="R7" s="5"/>
      <c r="S7" s="5" t="s">
        <v>220</v>
      </c>
      <c r="T7" s="5" t="s">
        <v>221</v>
      </c>
      <c r="U7" s="5" t="s">
        <v>222</v>
      </c>
      <c r="V7" s="5" t="s">
        <v>223</v>
      </c>
      <c r="W7" s="5" t="s">
        <v>224</v>
      </c>
      <c r="X7" s="5" t="s">
        <v>225</v>
      </c>
      <c r="Y7" s="5" t="s">
        <v>148</v>
      </c>
      <c r="Z7" s="9">
        <v>45419</v>
      </c>
      <c r="AA7" t="str">
        <f t="shared" si="0"/>
        <v>Cube Armchair | 27" H 33½" W 31½" D</v>
      </c>
      <c r="AB7" s="13" t="s">
        <v>301</v>
      </c>
      <c r="AC7" t="str">
        <f t="shared" si="1"/>
        <v>Upholstery = Beck, Color = Retrospect, Leg = Oak</v>
      </c>
    </row>
    <row r="8" spans="1:29" x14ac:dyDescent="0.2">
      <c r="A8" s="4" t="e">
        <f ca="1">HYPERLINK(I8,_xludf.IMAGE(I8))</f>
        <v>#NAME?</v>
      </c>
      <c r="B8" s="5">
        <v>100559775</v>
      </c>
      <c r="C8" s="5" t="s">
        <v>226</v>
      </c>
      <c r="D8" s="5" t="s">
        <v>211</v>
      </c>
      <c r="E8" s="5" t="s">
        <v>212</v>
      </c>
      <c r="F8" s="5" t="s">
        <v>213</v>
      </c>
      <c r="G8" s="6" t="s">
        <v>214</v>
      </c>
      <c r="H8" s="7" t="s">
        <v>227</v>
      </c>
      <c r="I8" s="8" t="s">
        <v>228</v>
      </c>
      <c r="J8" s="5" t="s">
        <v>217</v>
      </c>
      <c r="K8" s="5" t="s">
        <v>218</v>
      </c>
      <c r="L8" s="5" t="s">
        <v>34</v>
      </c>
      <c r="M8" s="5" t="s">
        <v>219</v>
      </c>
      <c r="N8" s="5" t="s">
        <v>143</v>
      </c>
      <c r="O8" s="5" t="s">
        <v>120</v>
      </c>
      <c r="P8" s="5"/>
      <c r="Q8" s="5"/>
      <c r="R8" s="5"/>
      <c r="S8" s="5" t="s">
        <v>220</v>
      </c>
      <c r="T8" s="5" t="s">
        <v>221</v>
      </c>
      <c r="U8" s="5" t="s">
        <v>229</v>
      </c>
      <c r="V8" s="5" t="s">
        <v>230</v>
      </c>
      <c r="W8" s="5" t="s">
        <v>231</v>
      </c>
      <c r="X8" s="5" t="s">
        <v>232</v>
      </c>
      <c r="Y8" s="5" t="s">
        <v>148</v>
      </c>
      <c r="Z8" s="9">
        <v>45419</v>
      </c>
      <c r="AA8" t="str">
        <f t="shared" si="0"/>
        <v>Cube Armchair | 27" H 33½" W 31½" D</v>
      </c>
      <c r="AB8" s="13" t="s">
        <v>301</v>
      </c>
      <c r="AC8" t="str">
        <f t="shared" si="1"/>
        <v>Upholstery = Beck, Color = Retrospect, Leg = Walnut</v>
      </c>
    </row>
    <row r="9" spans="1:29" x14ac:dyDescent="0.2">
      <c r="A9" s="4" t="e">
        <f ca="1">HYPERLINK(I9,_xludf.IMAGE(I9))</f>
        <v>#VALUE!</v>
      </c>
      <c r="B9" s="5">
        <v>100661719</v>
      </c>
      <c r="C9" s="5" t="s">
        <v>241</v>
      </c>
      <c r="D9" s="5" t="s">
        <v>211</v>
      </c>
      <c r="E9" s="5" t="s">
        <v>212</v>
      </c>
      <c r="F9" s="5" t="s">
        <v>213</v>
      </c>
      <c r="G9" s="6" t="s">
        <v>214</v>
      </c>
      <c r="H9" s="7" t="s">
        <v>242</v>
      </c>
      <c r="I9" s="5" t="s">
        <v>243</v>
      </c>
      <c r="J9" s="5" t="s">
        <v>217</v>
      </c>
      <c r="K9" s="5" t="s">
        <v>236</v>
      </c>
      <c r="L9" s="5" t="s">
        <v>34</v>
      </c>
      <c r="M9" s="5" t="s">
        <v>237</v>
      </c>
      <c r="N9" s="5" t="s">
        <v>143</v>
      </c>
      <c r="O9" s="5" t="s">
        <v>120</v>
      </c>
      <c r="P9" s="5"/>
      <c r="Q9" s="5"/>
      <c r="R9" s="5"/>
      <c r="S9" s="5" t="s">
        <v>220</v>
      </c>
      <c r="T9" s="5" t="s">
        <v>221</v>
      </c>
      <c r="U9" s="5" t="s">
        <v>241</v>
      </c>
      <c r="V9" s="5" t="s">
        <v>244</v>
      </c>
      <c r="W9" s="7" t="s">
        <v>245</v>
      </c>
      <c r="X9" s="5" t="s">
        <v>246</v>
      </c>
      <c r="Y9" s="5" t="s">
        <v>148</v>
      </c>
      <c r="Z9" s="10">
        <v>45768</v>
      </c>
      <c r="AA9" t="str">
        <f t="shared" si="0"/>
        <v>Cube Armchair | 27" H 33½" W 31½" D</v>
      </c>
      <c r="AB9" s="13" t="s">
        <v>301</v>
      </c>
      <c r="AC9" t="str">
        <f t="shared" si="1"/>
        <v>Upholstery = Epingle Stripe, Color = Caramel, Leg = Walnut</v>
      </c>
    </row>
    <row r="10" spans="1:29" x14ac:dyDescent="0.2">
      <c r="A10" s="4" t="e">
        <f ca="1">HYPERLINK(I10,_xludf.IMAGE(I10))</f>
        <v>#VALUE!</v>
      </c>
      <c r="B10" s="5">
        <v>100673417</v>
      </c>
      <c r="C10" s="5" t="s">
        <v>233</v>
      </c>
      <c r="D10" s="5" t="s">
        <v>211</v>
      </c>
      <c r="E10" s="5" t="s">
        <v>212</v>
      </c>
      <c r="F10" s="5" t="s">
        <v>213</v>
      </c>
      <c r="G10" s="6" t="s">
        <v>214</v>
      </c>
      <c r="H10" s="7" t="s">
        <v>234</v>
      </c>
      <c r="I10" s="5" t="s">
        <v>235</v>
      </c>
      <c r="J10" s="5" t="s">
        <v>217</v>
      </c>
      <c r="K10" s="5" t="s">
        <v>236</v>
      </c>
      <c r="L10" s="5" t="s">
        <v>34</v>
      </c>
      <c r="M10" s="5" t="s">
        <v>237</v>
      </c>
      <c r="N10" s="5" t="s">
        <v>143</v>
      </c>
      <c r="O10" s="5" t="s">
        <v>114</v>
      </c>
      <c r="P10" s="5"/>
      <c r="Q10" s="5"/>
      <c r="R10" s="5"/>
      <c r="S10" s="5" t="s">
        <v>220</v>
      </c>
      <c r="T10" s="5" t="s">
        <v>221</v>
      </c>
      <c r="U10" s="5" t="s">
        <v>233</v>
      </c>
      <c r="V10" s="5" t="s">
        <v>238</v>
      </c>
      <c r="W10" s="7" t="s">
        <v>239</v>
      </c>
      <c r="X10" s="5" t="s">
        <v>240</v>
      </c>
      <c r="Y10" s="5" t="s">
        <v>148</v>
      </c>
      <c r="Z10" s="10">
        <v>45768</v>
      </c>
      <c r="AA10" t="str">
        <f t="shared" si="0"/>
        <v>Cube Armchair | 27" H 33½" W 31½" D</v>
      </c>
      <c r="AB10" s="13" t="s">
        <v>301</v>
      </c>
      <c r="AC10" t="str">
        <f t="shared" si="1"/>
        <v>Upholstery = Epingle Stripe, Color = Caramel, Leg = Oak</v>
      </c>
    </row>
    <row r="11" spans="1:29" x14ac:dyDescent="0.2">
      <c r="A11" s="4" t="e">
        <f ca="1">HYPERLINK(I11,_xludf.IMAGE(I11))</f>
        <v>#NAME?</v>
      </c>
      <c r="B11" s="5">
        <v>100559923</v>
      </c>
      <c r="C11" s="5" t="s">
        <v>247</v>
      </c>
      <c r="D11" s="5" t="s">
        <v>248</v>
      </c>
      <c r="E11" s="5" t="s">
        <v>212</v>
      </c>
      <c r="F11" s="5" t="s">
        <v>213</v>
      </c>
      <c r="G11" s="6" t="s">
        <v>249</v>
      </c>
      <c r="H11" s="7" t="s">
        <v>250</v>
      </c>
      <c r="I11" s="8" t="s">
        <v>251</v>
      </c>
      <c r="J11" s="5" t="s">
        <v>54</v>
      </c>
      <c r="K11" s="5" t="s">
        <v>252</v>
      </c>
      <c r="L11" s="5" t="s">
        <v>217</v>
      </c>
      <c r="M11" s="5" t="s">
        <v>218</v>
      </c>
      <c r="N11" s="5" t="s">
        <v>34</v>
      </c>
      <c r="O11" s="5" t="s">
        <v>219</v>
      </c>
      <c r="P11" s="5" t="s">
        <v>143</v>
      </c>
      <c r="Q11" s="5" t="s">
        <v>114</v>
      </c>
      <c r="R11" s="5"/>
      <c r="S11" s="5" t="s">
        <v>220</v>
      </c>
      <c r="T11" s="5" t="s">
        <v>253</v>
      </c>
      <c r="U11" s="5" t="s">
        <v>254</v>
      </c>
      <c r="V11" s="5" t="s">
        <v>223</v>
      </c>
      <c r="W11" s="5" t="s">
        <v>224</v>
      </c>
      <c r="X11" s="5" t="s">
        <v>225</v>
      </c>
      <c r="Y11" s="5" t="s">
        <v>148</v>
      </c>
      <c r="Z11" s="9">
        <v>45419</v>
      </c>
      <c r="AA11" t="str">
        <f t="shared" si="0"/>
        <v>Cube Sofa | 27" H 81½" W 31½" D</v>
      </c>
      <c r="AB11" s="13" t="s">
        <v>302</v>
      </c>
      <c r="AC11" t="str">
        <f t="shared" si="1"/>
        <v>Size = 80", Upholstery = Beck, Color = Retrospect, Leg = Oak</v>
      </c>
    </row>
    <row r="12" spans="1:29" x14ac:dyDescent="0.2">
      <c r="A12" s="4" t="e">
        <f ca="1">HYPERLINK(I12,_xludf.IMAGE(I12))</f>
        <v>#NAME?</v>
      </c>
      <c r="B12" s="5">
        <v>100559924</v>
      </c>
      <c r="C12" s="5" t="s">
        <v>255</v>
      </c>
      <c r="D12" s="5" t="s">
        <v>248</v>
      </c>
      <c r="E12" s="5" t="s">
        <v>212</v>
      </c>
      <c r="F12" s="5" t="s">
        <v>213</v>
      </c>
      <c r="G12" s="6" t="s">
        <v>249</v>
      </c>
      <c r="H12" s="7" t="s">
        <v>256</v>
      </c>
      <c r="I12" s="8" t="s">
        <v>257</v>
      </c>
      <c r="J12" s="5" t="s">
        <v>54</v>
      </c>
      <c r="K12" s="5" t="s">
        <v>252</v>
      </c>
      <c r="L12" s="5" t="s">
        <v>217</v>
      </c>
      <c r="M12" s="5" t="s">
        <v>218</v>
      </c>
      <c r="N12" s="5" t="s">
        <v>34</v>
      </c>
      <c r="O12" s="5" t="s">
        <v>219</v>
      </c>
      <c r="P12" s="5" t="s">
        <v>143</v>
      </c>
      <c r="Q12" s="5" t="s">
        <v>120</v>
      </c>
      <c r="R12" s="5"/>
      <c r="S12" s="5" t="s">
        <v>220</v>
      </c>
      <c r="T12" s="5" t="s">
        <v>253</v>
      </c>
      <c r="U12" s="5" t="s">
        <v>258</v>
      </c>
      <c r="V12" s="5" t="s">
        <v>230</v>
      </c>
      <c r="W12" s="5" t="s">
        <v>231</v>
      </c>
      <c r="X12" s="5" t="s">
        <v>232</v>
      </c>
      <c r="Y12" s="5" t="s">
        <v>148</v>
      </c>
      <c r="Z12" s="9">
        <v>45419</v>
      </c>
      <c r="AA12" t="str">
        <f t="shared" si="0"/>
        <v>Cube Sofa | 27" H 81½" W 31½" D</v>
      </c>
      <c r="AB12" s="13" t="s">
        <v>302</v>
      </c>
      <c r="AC12" t="str">
        <f t="shared" si="1"/>
        <v>Size = 80", Upholstery = Beck, Color = Retrospect, Leg = Walnut</v>
      </c>
    </row>
    <row r="13" spans="1:29" x14ac:dyDescent="0.2">
      <c r="A13" s="4" t="e">
        <f ca="1">HYPERLINK(I13,_xludf.IMAGE(I13))</f>
        <v>#NAME?</v>
      </c>
      <c r="B13" s="5">
        <v>100578777</v>
      </c>
      <c r="C13" s="5" t="s">
        <v>267</v>
      </c>
      <c r="D13" s="5" t="s">
        <v>248</v>
      </c>
      <c r="E13" s="5" t="s">
        <v>212</v>
      </c>
      <c r="F13" s="5" t="s">
        <v>213</v>
      </c>
      <c r="G13" s="6" t="s">
        <v>249</v>
      </c>
      <c r="H13" s="7" t="s">
        <v>268</v>
      </c>
      <c r="I13" s="8" t="s">
        <v>269</v>
      </c>
      <c r="J13" s="5" t="s">
        <v>54</v>
      </c>
      <c r="K13" s="5" t="s">
        <v>252</v>
      </c>
      <c r="L13" s="5" t="s">
        <v>217</v>
      </c>
      <c r="M13" s="5" t="s">
        <v>262</v>
      </c>
      <c r="N13" s="5" t="s">
        <v>34</v>
      </c>
      <c r="O13" s="5" t="s">
        <v>263</v>
      </c>
      <c r="P13" s="5" t="s">
        <v>143</v>
      </c>
      <c r="Q13" s="5" t="s">
        <v>120</v>
      </c>
      <c r="R13" s="5"/>
      <c r="S13" s="5" t="s">
        <v>220</v>
      </c>
      <c r="T13" s="5" t="s">
        <v>253</v>
      </c>
      <c r="U13" s="5" t="s">
        <v>270</v>
      </c>
      <c r="V13" s="5" t="s">
        <v>271</v>
      </c>
      <c r="W13" s="5" t="s">
        <v>271</v>
      </c>
      <c r="X13" s="5" t="s">
        <v>272</v>
      </c>
      <c r="Y13" s="5" t="s">
        <v>148</v>
      </c>
      <c r="Z13" s="10">
        <v>45496</v>
      </c>
      <c r="AA13" t="str">
        <f t="shared" si="0"/>
        <v>Cube Sofa | 27" H 81½" W 31½" D</v>
      </c>
      <c r="AB13" s="13" t="s">
        <v>302</v>
      </c>
      <c r="AC13" t="str">
        <f t="shared" si="1"/>
        <v>Size = 80", Upholstery = Toostripe, Color = Ochre Dark / Sienna, Leg = Walnut</v>
      </c>
    </row>
    <row r="14" spans="1:29" x14ac:dyDescent="0.2">
      <c r="A14" s="4" t="e">
        <f ca="1">HYPERLINK(I14,_xludf.IMAGE(I14))</f>
        <v>#VALUE!</v>
      </c>
      <c r="B14" s="5">
        <v>100578875</v>
      </c>
      <c r="C14" s="5" t="s">
        <v>259</v>
      </c>
      <c r="D14" s="5" t="s">
        <v>248</v>
      </c>
      <c r="E14" s="5" t="s">
        <v>212</v>
      </c>
      <c r="F14" s="5" t="s">
        <v>213</v>
      </c>
      <c r="G14" s="6" t="s">
        <v>249</v>
      </c>
      <c r="H14" s="7" t="s">
        <v>260</v>
      </c>
      <c r="I14" s="8" t="s">
        <v>261</v>
      </c>
      <c r="J14" s="5" t="s">
        <v>54</v>
      </c>
      <c r="K14" s="5" t="s">
        <v>252</v>
      </c>
      <c r="L14" s="5" t="s">
        <v>217</v>
      </c>
      <c r="M14" s="5" t="s">
        <v>262</v>
      </c>
      <c r="N14" s="5" t="s">
        <v>34</v>
      </c>
      <c r="O14" s="5" t="s">
        <v>263</v>
      </c>
      <c r="P14" s="5" t="s">
        <v>143</v>
      </c>
      <c r="Q14" s="5" t="s">
        <v>114</v>
      </c>
      <c r="R14" s="5"/>
      <c r="S14" s="5" t="s">
        <v>220</v>
      </c>
      <c r="T14" s="5" t="s">
        <v>253</v>
      </c>
      <c r="U14" s="5" t="s">
        <v>264</v>
      </c>
      <c r="V14" s="5" t="s">
        <v>265</v>
      </c>
      <c r="W14" s="5" t="s">
        <v>265</v>
      </c>
      <c r="X14" s="5" t="s">
        <v>266</v>
      </c>
      <c r="Y14" s="5" t="s">
        <v>148</v>
      </c>
      <c r="Z14" s="10">
        <v>45496</v>
      </c>
      <c r="AA14" t="str">
        <f t="shared" si="0"/>
        <v>Cube Sofa | 27" H 81½" W 31½" D</v>
      </c>
      <c r="AB14" s="13" t="s">
        <v>302</v>
      </c>
      <c r="AC14" t="str">
        <f t="shared" si="1"/>
        <v>Size = 80", Upholstery = Toostripe, Color = Ochre Dark / Sienna, Leg = Oak</v>
      </c>
    </row>
    <row r="15" spans="1:29" x14ac:dyDescent="0.2">
      <c r="A15" s="4" t="e">
        <f ca="1">HYPERLINK(I15,_xludf.IMAGE(I15))</f>
        <v>#NAME?</v>
      </c>
      <c r="B15" s="5">
        <v>655422</v>
      </c>
      <c r="C15" s="5" t="s">
        <v>47</v>
      </c>
      <c r="D15" s="5" t="s">
        <v>48</v>
      </c>
      <c r="E15" s="5" t="s">
        <v>49</v>
      </c>
      <c r="F15" s="5" t="s">
        <v>50</v>
      </c>
      <c r="G15" s="6" t="s">
        <v>51</v>
      </c>
      <c r="H15" s="7" t="s">
        <v>52</v>
      </c>
      <c r="I15" s="8" t="s">
        <v>53</v>
      </c>
      <c r="J15" s="5" t="s">
        <v>54</v>
      </c>
      <c r="K15" s="5" t="s">
        <v>55</v>
      </c>
      <c r="L15" s="5"/>
      <c r="M15" s="5"/>
      <c r="N15" s="5"/>
      <c r="O15" s="5"/>
      <c r="P15" s="5"/>
      <c r="Q15" s="5"/>
      <c r="R15" s="5"/>
      <c r="S15" s="5"/>
      <c r="T15" s="5" t="s">
        <v>56</v>
      </c>
      <c r="U15" s="5" t="s">
        <v>57</v>
      </c>
      <c r="V15" s="5"/>
      <c r="W15" s="5"/>
      <c r="X15" s="5"/>
      <c r="Y15" s="5" t="s">
        <v>58</v>
      </c>
      <c r="Z15" s="9">
        <v>40848</v>
      </c>
      <c r="AA15" t="str">
        <f t="shared" si="0"/>
        <v>Foldable Star Sculptures | 7" DIA</v>
      </c>
      <c r="AB15" s="13" t="s">
        <v>303</v>
      </c>
      <c r="AC15" t="str">
        <f t="shared" si="1"/>
        <v>Size = 7"</v>
      </c>
    </row>
    <row r="16" spans="1:29" x14ac:dyDescent="0.2">
      <c r="A16" s="4" t="e">
        <f ca="1">HYPERLINK(I16,_xludf.IMAGE(I16))</f>
        <v>#VALUE!</v>
      </c>
      <c r="B16" s="5">
        <v>100177257</v>
      </c>
      <c r="C16" s="5" t="s">
        <v>79</v>
      </c>
      <c r="D16" s="5" t="s">
        <v>60</v>
      </c>
      <c r="E16" s="5" t="s">
        <v>61</v>
      </c>
      <c r="F16" s="5" t="s">
        <v>62</v>
      </c>
      <c r="G16" s="6" t="s">
        <v>80</v>
      </c>
      <c r="H16" s="7" t="s">
        <v>81</v>
      </c>
      <c r="I16" s="8" t="s">
        <v>82</v>
      </c>
      <c r="J16" s="5" t="s">
        <v>54</v>
      </c>
      <c r="K16" s="5" t="s">
        <v>75</v>
      </c>
      <c r="L16" s="5" t="s">
        <v>34</v>
      </c>
      <c r="M16" s="5" t="s">
        <v>67</v>
      </c>
      <c r="N16" s="5"/>
      <c r="O16" s="5"/>
      <c r="P16" s="5"/>
      <c r="Q16" s="5"/>
      <c r="R16" s="5"/>
      <c r="S16" s="5"/>
      <c r="T16" s="5" t="s">
        <v>68</v>
      </c>
      <c r="U16" s="5" t="s">
        <v>83</v>
      </c>
      <c r="V16" s="7" t="s">
        <v>70</v>
      </c>
      <c r="W16" s="7" t="s">
        <v>70</v>
      </c>
      <c r="X16" s="5" t="s">
        <v>71</v>
      </c>
      <c r="Y16" s="5" t="s">
        <v>58</v>
      </c>
      <c r="Z16" s="10">
        <v>44223</v>
      </c>
      <c r="AA16" t="str">
        <f t="shared" si="0"/>
        <v>Kink Vase | 10⅜" H 10⅞" W 5" DIA</v>
      </c>
      <c r="AB16" s="13" t="s">
        <v>304</v>
      </c>
      <c r="AC16" t="str">
        <f t="shared" si="1"/>
        <v>Size = Standard, Color = Sand</v>
      </c>
    </row>
    <row r="17" spans="1:29" x14ac:dyDescent="0.2">
      <c r="A17" s="4" t="e">
        <f ca="1">HYPERLINK(I17,_xludf.IMAGE(I17))</f>
        <v>#NAME?</v>
      </c>
      <c r="B17" s="5">
        <v>100658328</v>
      </c>
      <c r="C17" s="5" t="s">
        <v>72</v>
      </c>
      <c r="D17" s="5" t="s">
        <v>60</v>
      </c>
      <c r="E17" s="5" t="s">
        <v>61</v>
      </c>
      <c r="F17" s="5" t="s">
        <v>62</v>
      </c>
      <c r="G17" s="6" t="s">
        <v>63</v>
      </c>
      <c r="H17" s="7" t="s">
        <v>73</v>
      </c>
      <c r="I17" s="8" t="s">
        <v>74</v>
      </c>
      <c r="J17" s="5" t="s">
        <v>54</v>
      </c>
      <c r="K17" s="5" t="s">
        <v>75</v>
      </c>
      <c r="L17" s="5" t="s">
        <v>34</v>
      </c>
      <c r="M17" s="5" t="s">
        <v>76</v>
      </c>
      <c r="N17" s="5"/>
      <c r="O17" s="5"/>
      <c r="P17" s="5"/>
      <c r="Q17" s="5"/>
      <c r="R17" s="5"/>
      <c r="S17" s="5"/>
      <c r="T17" s="5" t="s">
        <v>68</v>
      </c>
      <c r="U17" s="5" t="s">
        <v>77</v>
      </c>
      <c r="V17" s="7" t="s">
        <v>78</v>
      </c>
      <c r="W17" s="5"/>
      <c r="X17" s="5"/>
      <c r="Y17" s="5" t="s">
        <v>58</v>
      </c>
      <c r="Z17" s="10">
        <v>45713</v>
      </c>
      <c r="AA17" t="str">
        <f t="shared" si="0"/>
        <v>Kink Vase | 15⅜" H 15¾" W 7½" DIA</v>
      </c>
      <c r="AB17" s="13" t="s">
        <v>305</v>
      </c>
      <c r="AC17" t="str">
        <f t="shared" si="1"/>
        <v>Size = Standard, Color = Deep Red</v>
      </c>
    </row>
    <row r="18" spans="1:29" x14ac:dyDescent="0.2">
      <c r="A18" s="4" t="e">
        <f ca="1">HYPERLINK(I18,_xludf.IMAGE(I18))</f>
        <v>#VALUE!</v>
      </c>
      <c r="B18" s="5">
        <v>100658330</v>
      </c>
      <c r="C18" s="5" t="s">
        <v>59</v>
      </c>
      <c r="D18" s="5" t="s">
        <v>60</v>
      </c>
      <c r="E18" s="5" t="s">
        <v>61</v>
      </c>
      <c r="F18" s="5" t="s">
        <v>62</v>
      </c>
      <c r="G18" s="6" t="s">
        <v>63</v>
      </c>
      <c r="H18" s="7" t="s">
        <v>64</v>
      </c>
      <c r="I18" s="8" t="s">
        <v>65</v>
      </c>
      <c r="J18" s="5" t="s">
        <v>54</v>
      </c>
      <c r="K18" s="5" t="s">
        <v>66</v>
      </c>
      <c r="L18" s="5" t="s">
        <v>34</v>
      </c>
      <c r="M18" s="5" t="s">
        <v>67</v>
      </c>
      <c r="N18" s="5"/>
      <c r="O18" s="5"/>
      <c r="P18" s="5"/>
      <c r="Q18" s="5"/>
      <c r="R18" s="5"/>
      <c r="S18" s="5"/>
      <c r="T18" s="5" t="s">
        <v>68</v>
      </c>
      <c r="U18" s="5" t="s">
        <v>69</v>
      </c>
      <c r="V18" s="7" t="s">
        <v>70</v>
      </c>
      <c r="W18" s="7" t="s">
        <v>70</v>
      </c>
      <c r="X18" s="5" t="s">
        <v>71</v>
      </c>
      <c r="Y18" s="5" t="s">
        <v>58</v>
      </c>
      <c r="Z18" s="10">
        <v>45713</v>
      </c>
      <c r="AA18" t="str">
        <f t="shared" si="0"/>
        <v>Kink Vase | 15⅜" H 15¾" W 7½" DIA</v>
      </c>
      <c r="AB18" s="13" t="s">
        <v>305</v>
      </c>
      <c r="AC18" t="str">
        <f t="shared" si="1"/>
        <v>Size = Large, Color = Sand</v>
      </c>
    </row>
    <row r="19" spans="1:29" x14ac:dyDescent="0.2">
      <c r="A19" s="4" t="e">
        <f ca="1">HYPERLINK(I19,_xludf.IMAGE(I19))</f>
        <v>#VALUE!</v>
      </c>
      <c r="B19" s="5">
        <v>100538036</v>
      </c>
      <c r="C19" s="5" t="s">
        <v>98</v>
      </c>
      <c r="D19" s="5" t="s">
        <v>85</v>
      </c>
      <c r="E19" s="5" t="s">
        <v>86</v>
      </c>
      <c r="F19" s="5"/>
      <c r="G19" s="6"/>
      <c r="H19" s="5"/>
      <c r="I19" s="8" t="s">
        <v>99</v>
      </c>
      <c r="J19" s="5" t="s">
        <v>34</v>
      </c>
      <c r="K19" s="5" t="s">
        <v>96</v>
      </c>
      <c r="L19" s="5" t="s">
        <v>54</v>
      </c>
      <c r="M19" s="5" t="s">
        <v>100</v>
      </c>
      <c r="N19" s="5"/>
      <c r="O19" s="5"/>
      <c r="P19" s="5"/>
      <c r="Q19" s="5"/>
      <c r="R19" s="5"/>
      <c r="S19" s="5" t="s">
        <v>91</v>
      </c>
      <c r="T19" s="5" t="s">
        <v>92</v>
      </c>
      <c r="U19" s="5">
        <v>131560</v>
      </c>
      <c r="V19" s="7" t="s">
        <v>97</v>
      </c>
      <c r="W19" s="5"/>
      <c r="X19" s="5"/>
      <c r="Y19" s="5" t="s">
        <v>58</v>
      </c>
      <c r="Z19" s="9">
        <v>45505</v>
      </c>
      <c r="AA19" t="str">
        <f t="shared" si="0"/>
        <v xml:space="preserve">Mode Pillow | </v>
      </c>
      <c r="AB19" s="13" t="s">
        <v>308</v>
      </c>
      <c r="AC19" t="str">
        <f t="shared" si="1"/>
        <v>Color = Saltwater Jetty, Size = 18x18"</v>
      </c>
    </row>
    <row r="20" spans="1:29" x14ac:dyDescent="0.2">
      <c r="A20" s="4" t="e">
        <f ca="1">HYPERLINK(I20,_xludf.IMAGE(I20))</f>
        <v>#VALUE!</v>
      </c>
      <c r="B20" s="5">
        <v>100538042</v>
      </c>
      <c r="C20" s="5" t="s">
        <v>94</v>
      </c>
      <c r="D20" s="5" t="s">
        <v>85</v>
      </c>
      <c r="E20" s="5" t="s">
        <v>86</v>
      </c>
      <c r="F20" s="5"/>
      <c r="G20" s="6"/>
      <c r="H20" s="5"/>
      <c r="I20" s="8" t="s">
        <v>95</v>
      </c>
      <c r="J20" s="5" t="s">
        <v>34</v>
      </c>
      <c r="K20" s="5" t="s">
        <v>96</v>
      </c>
      <c r="L20" s="5" t="s">
        <v>54</v>
      </c>
      <c r="M20" s="5" t="s">
        <v>90</v>
      </c>
      <c r="N20" s="5"/>
      <c r="O20" s="5"/>
      <c r="P20" s="5"/>
      <c r="Q20" s="5"/>
      <c r="R20" s="5"/>
      <c r="S20" s="5" t="s">
        <v>91</v>
      </c>
      <c r="T20" s="5" t="s">
        <v>92</v>
      </c>
      <c r="U20" s="5">
        <v>131574</v>
      </c>
      <c r="V20" s="7" t="s">
        <v>97</v>
      </c>
      <c r="W20" s="5"/>
      <c r="X20" s="5"/>
      <c r="Y20" s="5" t="s">
        <v>58</v>
      </c>
      <c r="Z20" s="9">
        <v>45505</v>
      </c>
      <c r="AA20" t="str">
        <f t="shared" si="0"/>
        <v xml:space="preserve">Mode Pillow | </v>
      </c>
      <c r="AB20" s="13" t="s">
        <v>308</v>
      </c>
      <c r="AC20" t="str">
        <f t="shared" si="1"/>
        <v>Color = Saltwater Jetty, Size = 12x22"</v>
      </c>
    </row>
    <row r="21" spans="1:29" x14ac:dyDescent="0.2">
      <c r="A21" s="4" t="e">
        <f ca="1">HYPERLINK(I21,_xludf.IMAGE(I21))</f>
        <v>#VALUE!</v>
      </c>
      <c r="B21" s="5">
        <v>100538043</v>
      </c>
      <c r="C21" s="5" t="s">
        <v>84</v>
      </c>
      <c r="D21" s="5" t="s">
        <v>85</v>
      </c>
      <c r="E21" s="5" t="s">
        <v>86</v>
      </c>
      <c r="F21" s="5"/>
      <c r="G21" s="6" t="s">
        <v>87</v>
      </c>
      <c r="H21" s="5"/>
      <c r="I21" s="8" t="s">
        <v>88</v>
      </c>
      <c r="J21" s="5" t="s">
        <v>34</v>
      </c>
      <c r="K21" s="5" t="s">
        <v>89</v>
      </c>
      <c r="L21" s="5" t="s">
        <v>54</v>
      </c>
      <c r="M21" s="5" t="s">
        <v>90</v>
      </c>
      <c r="N21" s="5"/>
      <c r="O21" s="5"/>
      <c r="P21" s="5"/>
      <c r="Q21" s="5"/>
      <c r="R21" s="5"/>
      <c r="S21" s="5" t="s">
        <v>91</v>
      </c>
      <c r="T21" s="5" t="s">
        <v>92</v>
      </c>
      <c r="U21" s="5">
        <v>131576</v>
      </c>
      <c r="V21" s="7" t="s">
        <v>93</v>
      </c>
      <c r="W21" s="5"/>
      <c r="X21" s="5"/>
      <c r="Y21" s="5" t="s">
        <v>58</v>
      </c>
      <c r="Z21" s="9">
        <v>45505</v>
      </c>
      <c r="AA21" t="str">
        <f t="shared" si="0"/>
        <v>Mode Pillow | 12" H 22" W 5" D</v>
      </c>
      <c r="AB21" s="13" t="s">
        <v>306</v>
      </c>
      <c r="AC21" t="str">
        <f t="shared" si="1"/>
        <v>Color = Lioness Rust, Size = 12x22"</v>
      </c>
    </row>
    <row r="22" spans="1:29" x14ac:dyDescent="0.2">
      <c r="A22" s="4" t="e">
        <f ca="1">HYPERLINK(I22,_xludf.IMAGE(I22))</f>
        <v>#VALUE!</v>
      </c>
      <c r="B22" s="5">
        <v>100538040</v>
      </c>
      <c r="C22" s="5" t="s">
        <v>101</v>
      </c>
      <c r="D22" s="5" t="s">
        <v>85</v>
      </c>
      <c r="E22" s="5" t="s">
        <v>86</v>
      </c>
      <c r="F22" s="5"/>
      <c r="G22" s="6" t="s">
        <v>102</v>
      </c>
      <c r="H22" s="7" t="s">
        <v>103</v>
      </c>
      <c r="I22" s="8" t="s">
        <v>104</v>
      </c>
      <c r="J22" s="5" t="s">
        <v>34</v>
      </c>
      <c r="K22" s="5" t="s">
        <v>89</v>
      </c>
      <c r="L22" s="5" t="s">
        <v>54</v>
      </c>
      <c r="M22" s="5" t="s">
        <v>105</v>
      </c>
      <c r="N22" s="5"/>
      <c r="O22" s="5"/>
      <c r="P22" s="5"/>
      <c r="Q22" s="5"/>
      <c r="R22" s="5"/>
      <c r="S22" s="5" t="s">
        <v>91</v>
      </c>
      <c r="T22" s="5" t="s">
        <v>92</v>
      </c>
      <c r="U22" s="5">
        <v>131577</v>
      </c>
      <c r="V22" s="7" t="s">
        <v>93</v>
      </c>
      <c r="W22" s="5"/>
      <c r="X22" s="5"/>
      <c r="Y22" s="5" t="s">
        <v>58</v>
      </c>
      <c r="Z22" s="9">
        <v>45505</v>
      </c>
      <c r="AA22" t="str">
        <f t="shared" si="0"/>
        <v>Mode Pillow | 20" H 20" W 5" D</v>
      </c>
      <c r="AB22" s="13" t="s">
        <v>307</v>
      </c>
      <c r="AC22" t="str">
        <f t="shared" si="1"/>
        <v>Color = Lioness Rust, Size = 20x20"</v>
      </c>
    </row>
    <row r="23" spans="1:29" x14ac:dyDescent="0.2">
      <c r="A23" s="4" t="e">
        <f ca="1">HYPERLINK(I23,_xludf.IMAGE(I23))</f>
        <v>#VALUE!</v>
      </c>
      <c r="B23" s="5">
        <v>100642342</v>
      </c>
      <c r="C23" s="5" t="s">
        <v>117</v>
      </c>
      <c r="D23" s="5" t="s">
        <v>107</v>
      </c>
      <c r="E23" s="5" t="s">
        <v>108</v>
      </c>
      <c r="F23" s="5" t="s">
        <v>109</v>
      </c>
      <c r="G23" s="6" t="s">
        <v>110</v>
      </c>
      <c r="H23" s="7" t="s">
        <v>118</v>
      </c>
      <c r="I23" s="5" t="s">
        <v>119</v>
      </c>
      <c r="J23" s="5" t="s">
        <v>113</v>
      </c>
      <c r="K23" s="5" t="s">
        <v>120</v>
      </c>
      <c r="L23" s="5"/>
      <c r="M23" s="5"/>
      <c r="N23" s="5"/>
      <c r="O23" s="5"/>
      <c r="P23" s="5"/>
      <c r="Q23" s="5"/>
      <c r="R23" s="5"/>
      <c r="S23" s="5"/>
      <c r="T23" s="5" t="s">
        <v>115</v>
      </c>
      <c r="U23" s="5"/>
      <c r="V23" s="7" t="s">
        <v>121</v>
      </c>
      <c r="W23" s="5"/>
      <c r="X23" s="5"/>
      <c r="Y23" s="5" t="s">
        <v>40</v>
      </c>
      <c r="Z23" s="10">
        <v>45769</v>
      </c>
      <c r="AA23" t="str">
        <f t="shared" si="0"/>
        <v>Plush Extension Dining Table | 28⅜" H 94½" W 55⅛" DIA</v>
      </c>
      <c r="AB23" s="13" t="s">
        <v>309</v>
      </c>
      <c r="AC23" t="str">
        <f t="shared" si="1"/>
        <v>Finish = Walnut</v>
      </c>
    </row>
    <row r="24" spans="1:29" x14ac:dyDescent="0.2">
      <c r="A24" s="4" t="e">
        <f ca="1">HYPERLINK(I24,_xludf.IMAGE(I24))</f>
        <v>#VALUE!</v>
      </c>
      <c r="B24" s="5">
        <v>100642343</v>
      </c>
      <c r="C24" s="5" t="s">
        <v>106</v>
      </c>
      <c r="D24" s="5" t="s">
        <v>107</v>
      </c>
      <c r="E24" s="5" t="s">
        <v>108</v>
      </c>
      <c r="F24" s="5" t="s">
        <v>109</v>
      </c>
      <c r="G24" s="6" t="s">
        <v>110</v>
      </c>
      <c r="H24" s="7" t="s">
        <v>111</v>
      </c>
      <c r="I24" s="5" t="s">
        <v>112</v>
      </c>
      <c r="J24" s="5" t="s">
        <v>113</v>
      </c>
      <c r="K24" s="5" t="s">
        <v>114</v>
      </c>
      <c r="L24" s="5"/>
      <c r="M24" s="5"/>
      <c r="N24" s="5"/>
      <c r="O24" s="5"/>
      <c r="P24" s="5"/>
      <c r="Q24" s="5"/>
      <c r="R24" s="5"/>
      <c r="S24" s="5"/>
      <c r="T24" s="5" t="s">
        <v>115</v>
      </c>
      <c r="U24" s="5"/>
      <c r="V24" s="7" t="s">
        <v>116</v>
      </c>
      <c r="W24" s="5"/>
      <c r="X24" s="5"/>
      <c r="Y24" s="5" t="s">
        <v>40</v>
      </c>
      <c r="Z24" s="10">
        <v>45769</v>
      </c>
      <c r="AA24" t="str">
        <f t="shared" si="0"/>
        <v>Plush Extension Dining Table | 28⅜" H 94½" W 55⅛" DIA</v>
      </c>
      <c r="AB24" s="13" t="s">
        <v>309</v>
      </c>
      <c r="AC24" t="str">
        <f t="shared" si="1"/>
        <v>Finish = Oak</v>
      </c>
    </row>
    <row r="25" spans="1:29" x14ac:dyDescent="0.2">
      <c r="A25" s="4" t="e">
        <f ca="1">HYPERLINK(I25,_xludf.IMAGE(I25))</f>
        <v>#VALUE!</v>
      </c>
      <c r="B25" s="5">
        <v>100072864</v>
      </c>
      <c r="C25" s="5" t="s">
        <v>186</v>
      </c>
      <c r="D25" s="5" t="s">
        <v>187</v>
      </c>
      <c r="E25" s="5" t="s">
        <v>188</v>
      </c>
      <c r="F25" s="5" t="s">
        <v>189</v>
      </c>
      <c r="G25" s="6" t="s">
        <v>190</v>
      </c>
      <c r="H25" s="7" t="s">
        <v>191</v>
      </c>
      <c r="I25" s="8" t="s">
        <v>192</v>
      </c>
      <c r="J25" s="5" t="s">
        <v>34</v>
      </c>
      <c r="K25" s="5" t="s">
        <v>193</v>
      </c>
      <c r="L25" s="5"/>
      <c r="M25" s="5"/>
      <c r="N25" s="5"/>
      <c r="O25" s="5"/>
      <c r="P25" s="5"/>
      <c r="Q25" s="5"/>
      <c r="R25" s="5"/>
      <c r="S25" s="5" t="s">
        <v>194</v>
      </c>
      <c r="T25" s="5" t="s">
        <v>195</v>
      </c>
      <c r="U25" s="5" t="s">
        <v>196</v>
      </c>
      <c r="V25" s="7" t="s">
        <v>197</v>
      </c>
      <c r="W25" s="7" t="s">
        <v>197</v>
      </c>
      <c r="X25" s="5" t="s">
        <v>198</v>
      </c>
      <c r="Y25" s="5" t="s">
        <v>199</v>
      </c>
      <c r="Z25" s="9">
        <v>42795</v>
      </c>
      <c r="AA25" t="str">
        <f t="shared" si="0"/>
        <v>Sculptura Chair | 33" H 29¾" W 27¾" D</v>
      </c>
      <c r="AB25" s="13" t="s">
        <v>310</v>
      </c>
      <c r="AC25" t="str">
        <f t="shared" si="1"/>
        <v>Color = Black</v>
      </c>
    </row>
    <row r="26" spans="1:29" x14ac:dyDescent="0.2">
      <c r="A26" s="4" t="e">
        <f ca="1">HYPERLINK(I26,_xludf.IMAGE(I26))</f>
        <v>#VALUE!</v>
      </c>
      <c r="B26" s="5">
        <v>100072872</v>
      </c>
      <c r="C26" s="5" t="s">
        <v>200</v>
      </c>
      <c r="D26" s="5" t="s">
        <v>201</v>
      </c>
      <c r="E26" s="5" t="s">
        <v>188</v>
      </c>
      <c r="F26" s="5" t="s">
        <v>189</v>
      </c>
      <c r="G26" s="6" t="s">
        <v>202</v>
      </c>
      <c r="H26" s="7" t="s">
        <v>203</v>
      </c>
      <c r="I26" s="8" t="s">
        <v>204</v>
      </c>
      <c r="J26" s="5" t="s">
        <v>34</v>
      </c>
      <c r="K26" s="5" t="s">
        <v>205</v>
      </c>
      <c r="L26" s="5"/>
      <c r="M26" s="5"/>
      <c r="N26" s="5"/>
      <c r="O26" s="5"/>
      <c r="P26" s="5"/>
      <c r="Q26" s="5"/>
      <c r="R26" s="5"/>
      <c r="S26" s="5" t="s">
        <v>194</v>
      </c>
      <c r="T26" s="5" t="s">
        <v>206</v>
      </c>
      <c r="U26" s="5" t="s">
        <v>207</v>
      </c>
      <c r="V26" s="7" t="s">
        <v>208</v>
      </c>
      <c r="W26" s="7" t="s">
        <v>208</v>
      </c>
      <c r="X26" s="5" t="s">
        <v>209</v>
      </c>
      <c r="Y26" s="5" t="s">
        <v>199</v>
      </c>
      <c r="Z26" s="9">
        <v>42795</v>
      </c>
      <c r="AA26" t="str">
        <f t="shared" si="0"/>
        <v>Sculptura Chair Cushion | 2" H 24" W 18" D</v>
      </c>
      <c r="AB26" s="13" t="s">
        <v>311</v>
      </c>
      <c r="AC26" t="str">
        <f t="shared" si="1"/>
        <v>Color = White</v>
      </c>
    </row>
    <row r="27" spans="1:29" x14ac:dyDescent="0.2">
      <c r="A27" s="4" t="e">
        <f ca="1">HYPERLINK(I27,_xludf.IMAGE(I27))</f>
        <v>#NAME?</v>
      </c>
      <c r="B27" s="5">
        <v>100168671</v>
      </c>
      <c r="C27" s="5" t="s">
        <v>122</v>
      </c>
      <c r="D27" s="5" t="s">
        <v>123</v>
      </c>
      <c r="E27" s="5" t="s">
        <v>86</v>
      </c>
      <c r="F27" s="5" t="s">
        <v>124</v>
      </c>
      <c r="G27" s="6" t="s">
        <v>125</v>
      </c>
      <c r="H27" s="7" t="s">
        <v>126</v>
      </c>
      <c r="I27" s="8" t="s">
        <v>127</v>
      </c>
      <c r="J27" s="5" t="s">
        <v>54</v>
      </c>
      <c r="K27" s="5" t="s">
        <v>128</v>
      </c>
      <c r="L27" s="5" t="s">
        <v>34</v>
      </c>
      <c r="M27" s="5" t="s">
        <v>129</v>
      </c>
      <c r="N27" s="5"/>
      <c r="O27" s="5"/>
      <c r="P27" s="5"/>
      <c r="Q27" s="5"/>
      <c r="R27" s="5"/>
      <c r="S27" s="5"/>
      <c r="T27" s="5" t="s">
        <v>130</v>
      </c>
      <c r="U27" s="5" t="s">
        <v>131</v>
      </c>
      <c r="V27" s="7" t="s">
        <v>132</v>
      </c>
      <c r="W27" s="7" t="s">
        <v>133</v>
      </c>
      <c r="X27" s="5" t="s">
        <v>134</v>
      </c>
      <c r="Y27" s="5" t="s">
        <v>58</v>
      </c>
      <c r="Z27" s="9">
        <v>44075</v>
      </c>
      <c r="AA27" t="str">
        <f t="shared" si="0"/>
        <v>Sheepskin Throw | 2" H 41" W 82" D</v>
      </c>
      <c r="AB27" s="13" t="s">
        <v>312</v>
      </c>
      <c r="AC27" t="str">
        <f t="shared" si="1"/>
        <v>Size = Quadrat, Color = Light Grey</v>
      </c>
    </row>
    <row r="28" spans="1:29" x14ac:dyDescent="0.2">
      <c r="A28" s="4" t="e">
        <f ca="1">HYPERLINK(I28,_xludf.IMAGE(I28))</f>
        <v>#VALUE!</v>
      </c>
      <c r="B28" s="5">
        <v>100145046</v>
      </c>
      <c r="C28" s="5" t="s">
        <v>135</v>
      </c>
      <c r="D28" s="5" t="s">
        <v>136</v>
      </c>
      <c r="E28" s="5" t="s">
        <v>137</v>
      </c>
      <c r="F28" s="5" t="s">
        <v>138</v>
      </c>
      <c r="G28" s="6" t="s">
        <v>139</v>
      </c>
      <c r="H28" s="7" t="s">
        <v>140</v>
      </c>
      <c r="I28" s="8" t="s">
        <v>141</v>
      </c>
      <c r="J28" s="5" t="s">
        <v>34</v>
      </c>
      <c r="K28" s="5" t="s">
        <v>142</v>
      </c>
      <c r="L28" s="5" t="s">
        <v>143</v>
      </c>
      <c r="M28" s="5" t="s">
        <v>120</v>
      </c>
      <c r="N28" s="5"/>
      <c r="O28" s="5"/>
      <c r="P28" s="5"/>
      <c r="Q28" s="5"/>
      <c r="R28" s="5"/>
      <c r="S28" s="5" t="s">
        <v>144</v>
      </c>
      <c r="T28" s="5" t="s">
        <v>145</v>
      </c>
      <c r="U28" s="5" t="s">
        <v>135</v>
      </c>
      <c r="V28" s="5" t="s">
        <v>146</v>
      </c>
      <c r="W28" s="5" t="s">
        <v>146</v>
      </c>
      <c r="X28" s="5" t="s">
        <v>147</v>
      </c>
      <c r="Y28" s="5" t="s">
        <v>148</v>
      </c>
      <c r="Z28" s="9">
        <v>43891</v>
      </c>
      <c r="AA28" t="str">
        <f t="shared" si="0"/>
        <v>Uchiwa Ottoman | 15¼" H 24" W 19¼" D</v>
      </c>
      <c r="AB28" s="13" t="s">
        <v>313</v>
      </c>
      <c r="AC28" t="str">
        <f t="shared" si="1"/>
        <v>Color = Divina 691 Mauve / Remix 692 Plum, Leg = Walnut</v>
      </c>
    </row>
    <row r="29" spans="1:29" x14ac:dyDescent="0.2">
      <c r="A29" s="4" t="e">
        <f ca="1">HYPERLINK(I29,_xludf.IMAGE(I29))</f>
        <v>#NAME?</v>
      </c>
      <c r="B29" s="5">
        <v>100181152</v>
      </c>
      <c r="C29" s="5" t="s">
        <v>149</v>
      </c>
      <c r="D29" s="5" t="s">
        <v>136</v>
      </c>
      <c r="E29" s="5" t="s">
        <v>137</v>
      </c>
      <c r="F29" s="5" t="s">
        <v>138</v>
      </c>
      <c r="G29" s="6" t="s">
        <v>139</v>
      </c>
      <c r="H29" s="7" t="s">
        <v>150</v>
      </c>
      <c r="I29" s="8" t="s">
        <v>151</v>
      </c>
      <c r="J29" s="5" t="s">
        <v>34</v>
      </c>
      <c r="K29" s="5" t="s">
        <v>152</v>
      </c>
      <c r="L29" s="5" t="s">
        <v>143</v>
      </c>
      <c r="M29" s="5" t="s">
        <v>120</v>
      </c>
      <c r="N29" s="5"/>
      <c r="O29" s="5"/>
      <c r="P29" s="5"/>
      <c r="Q29" s="5"/>
      <c r="R29" s="5"/>
      <c r="S29" s="5" t="s">
        <v>144</v>
      </c>
      <c r="T29" s="5" t="s">
        <v>145</v>
      </c>
      <c r="U29" s="5" t="s">
        <v>149</v>
      </c>
      <c r="V29" s="5" t="s">
        <v>153</v>
      </c>
      <c r="W29" s="5" t="s">
        <v>153</v>
      </c>
      <c r="X29" s="5" t="s">
        <v>154</v>
      </c>
      <c r="Y29" s="5" t="s">
        <v>148</v>
      </c>
      <c r="Z29" s="10">
        <v>44131</v>
      </c>
      <c r="AA29" t="str">
        <f t="shared" si="0"/>
        <v>Uchiwa Ottoman | 15¼" H 24" W 19¼" D</v>
      </c>
      <c r="AB29" s="13" t="s">
        <v>313</v>
      </c>
      <c r="AC29" t="str">
        <f t="shared" si="1"/>
        <v>Color = Mode Clavicle / Remix 242 Birch, Leg = Walnut</v>
      </c>
    </row>
    <row r="30" spans="1:29" x14ac:dyDescent="0.2">
      <c r="A30" s="4" t="e">
        <f ca="1">HYPERLINK(I30,_xludf.IMAGE(I30))</f>
        <v>#VALUE!</v>
      </c>
      <c r="B30" s="5">
        <v>100608411</v>
      </c>
      <c r="C30" s="5" t="s">
        <v>168</v>
      </c>
      <c r="D30" s="5" t="s">
        <v>156</v>
      </c>
      <c r="E30" s="5" t="s">
        <v>157</v>
      </c>
      <c r="F30" s="5" t="s">
        <v>158</v>
      </c>
      <c r="G30" s="6" t="s">
        <v>159</v>
      </c>
      <c r="H30" s="7" t="s">
        <v>169</v>
      </c>
      <c r="I30" s="8" t="s">
        <v>170</v>
      </c>
      <c r="J30" s="5" t="s">
        <v>34</v>
      </c>
      <c r="K30" s="5" t="s">
        <v>171</v>
      </c>
      <c r="L30" s="5"/>
      <c r="M30" s="5"/>
      <c r="N30" s="5"/>
      <c r="O30" s="5"/>
      <c r="P30" s="5"/>
      <c r="Q30" s="5"/>
      <c r="R30" s="5"/>
      <c r="S30" s="5" t="s">
        <v>163</v>
      </c>
      <c r="T30" s="5" t="s">
        <v>164</v>
      </c>
      <c r="U30" s="5" t="s">
        <v>172</v>
      </c>
      <c r="V30" s="7" t="s">
        <v>173</v>
      </c>
      <c r="W30" s="5"/>
      <c r="X30" s="5"/>
      <c r="Y30" s="5" t="s">
        <v>167</v>
      </c>
      <c r="Z30" s="10">
        <v>45768</v>
      </c>
      <c r="AA30" t="str">
        <f t="shared" si="0"/>
        <v>VP1 Flowerpot Pendant | 6⅜" H 9⅛" W 9⅛" DIA</v>
      </c>
      <c r="AB30" s="13" t="s">
        <v>314</v>
      </c>
      <c r="AC30" t="str">
        <f t="shared" si="1"/>
        <v>Color = Signal Green</v>
      </c>
    </row>
    <row r="31" spans="1:29" x14ac:dyDescent="0.2">
      <c r="A31" s="4" t="e">
        <f ca="1">HYPERLINK(I31,_xludf.IMAGE(I31))</f>
        <v>#VALUE!</v>
      </c>
      <c r="B31" s="5">
        <v>100608414</v>
      </c>
      <c r="C31" s="5" t="s">
        <v>155</v>
      </c>
      <c r="D31" s="5" t="s">
        <v>156</v>
      </c>
      <c r="E31" s="5" t="s">
        <v>157</v>
      </c>
      <c r="F31" s="5" t="s">
        <v>158</v>
      </c>
      <c r="G31" s="6" t="s">
        <v>159</v>
      </c>
      <c r="H31" s="7" t="s">
        <v>160</v>
      </c>
      <c r="I31" s="8" t="s">
        <v>161</v>
      </c>
      <c r="J31" s="5" t="s">
        <v>34</v>
      </c>
      <c r="K31" s="5" t="s">
        <v>162</v>
      </c>
      <c r="L31" s="5"/>
      <c r="M31" s="5"/>
      <c r="N31" s="5"/>
      <c r="O31" s="5"/>
      <c r="P31" s="5"/>
      <c r="Q31" s="5"/>
      <c r="R31" s="5"/>
      <c r="S31" s="5" t="s">
        <v>163</v>
      </c>
      <c r="T31" s="5" t="s">
        <v>164</v>
      </c>
      <c r="U31" s="5" t="s">
        <v>165</v>
      </c>
      <c r="V31" s="7" t="s">
        <v>166</v>
      </c>
      <c r="W31" s="5"/>
      <c r="X31" s="5"/>
      <c r="Y31" s="5" t="s">
        <v>167</v>
      </c>
      <c r="Z31" s="10">
        <v>45768</v>
      </c>
      <c r="AA31" t="str">
        <f t="shared" si="0"/>
        <v>VP1 Flowerpot Pendant | 6⅜" H 9⅛" W 9⅛" DIA</v>
      </c>
      <c r="AB31" s="13" t="s">
        <v>314</v>
      </c>
      <c r="AC31" t="str">
        <f t="shared" si="1"/>
        <v>Color = Mustard</v>
      </c>
    </row>
    <row r="32" spans="1:29" x14ac:dyDescent="0.2">
      <c r="A32" s="4" t="e">
        <f ca="1">HYPERLINK(I32,_xludf.IMAGE(I32))</f>
        <v>#NAME?</v>
      </c>
      <c r="B32" s="5">
        <v>100608415</v>
      </c>
      <c r="C32" s="5" t="s">
        <v>174</v>
      </c>
      <c r="D32" s="5" t="s">
        <v>156</v>
      </c>
      <c r="E32" s="5" t="s">
        <v>157</v>
      </c>
      <c r="F32" s="5" t="s">
        <v>158</v>
      </c>
      <c r="G32" s="6" t="s">
        <v>159</v>
      </c>
      <c r="H32" s="7" t="s">
        <v>175</v>
      </c>
      <c r="I32" s="8" t="s">
        <v>176</v>
      </c>
      <c r="J32" s="5" t="s">
        <v>34</v>
      </c>
      <c r="K32" s="5" t="s">
        <v>177</v>
      </c>
      <c r="L32" s="5"/>
      <c r="M32" s="5"/>
      <c r="N32" s="5"/>
      <c r="O32" s="5"/>
      <c r="P32" s="5"/>
      <c r="Q32" s="5"/>
      <c r="R32" s="5"/>
      <c r="S32" s="5" t="s">
        <v>163</v>
      </c>
      <c r="T32" s="5" t="s">
        <v>164</v>
      </c>
      <c r="U32" s="5" t="s">
        <v>178</v>
      </c>
      <c r="V32" s="7" t="s">
        <v>179</v>
      </c>
      <c r="W32" s="5"/>
      <c r="X32" s="5"/>
      <c r="Y32" s="5" t="s">
        <v>167</v>
      </c>
      <c r="Z32" s="10">
        <v>45768</v>
      </c>
      <c r="AA32" t="str">
        <f t="shared" si="0"/>
        <v>VP1 Flowerpot Pendant | 6⅜" H 9⅛" W 9⅛" DIA</v>
      </c>
      <c r="AB32" s="13" t="s">
        <v>314</v>
      </c>
      <c r="AC32" t="str">
        <f t="shared" si="1"/>
        <v>Color = Stone Blue</v>
      </c>
    </row>
    <row r="33" spans="1:29" x14ac:dyDescent="0.2">
      <c r="A33" s="4" t="e">
        <f ca="1">HYPERLINK(I33,_xludf.IMAGE(I33))</f>
        <v>#VALUE!</v>
      </c>
      <c r="B33" s="5">
        <v>100608512</v>
      </c>
      <c r="C33" s="5" t="s">
        <v>180</v>
      </c>
      <c r="D33" s="5" t="s">
        <v>156</v>
      </c>
      <c r="E33" s="5" t="s">
        <v>157</v>
      </c>
      <c r="F33" s="5" t="s">
        <v>158</v>
      </c>
      <c r="G33" s="6" t="s">
        <v>159</v>
      </c>
      <c r="H33" s="7" t="s">
        <v>181</v>
      </c>
      <c r="I33" s="8" t="s">
        <v>182</v>
      </c>
      <c r="J33" s="5" t="s">
        <v>34</v>
      </c>
      <c r="K33" s="5" t="s">
        <v>183</v>
      </c>
      <c r="L33" s="5"/>
      <c r="M33" s="5"/>
      <c r="N33" s="5"/>
      <c r="O33" s="5"/>
      <c r="P33" s="5"/>
      <c r="Q33" s="5"/>
      <c r="R33" s="5"/>
      <c r="S33" s="5" t="s">
        <v>163</v>
      </c>
      <c r="T33" s="5" t="s">
        <v>164</v>
      </c>
      <c r="U33" s="5" t="s">
        <v>184</v>
      </c>
      <c r="V33" s="7" t="s">
        <v>185</v>
      </c>
      <c r="W33" s="5"/>
      <c r="X33" s="5"/>
      <c r="Y33" s="5" t="s">
        <v>167</v>
      </c>
      <c r="Z33" s="10">
        <v>45768</v>
      </c>
      <c r="AA33" t="str">
        <f t="shared" si="0"/>
        <v>VP1 Flowerpot Pendant | 6⅜" H 9⅛" W 9⅛" DIA</v>
      </c>
      <c r="AB33" s="13" t="s">
        <v>314</v>
      </c>
      <c r="AC33" t="str">
        <f t="shared" si="1"/>
        <v>Color = Swim Blue</v>
      </c>
    </row>
    <row r="34" spans="1:29" x14ac:dyDescent="0.2">
      <c r="A34" s="11"/>
      <c r="B34" s="11"/>
      <c r="C34" s="11"/>
      <c r="D34" s="11"/>
      <c r="E34" s="11"/>
      <c r="F34" s="11"/>
      <c r="G34" s="12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9" x14ac:dyDescent="0.2">
      <c r="A35" s="11"/>
      <c r="B35" s="11"/>
      <c r="C35" s="11"/>
      <c r="D35" s="11"/>
      <c r="E35" s="11"/>
      <c r="F35" s="11"/>
      <c r="G35" s="12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9" x14ac:dyDescent="0.2">
      <c r="A36" s="11"/>
      <c r="B36" s="11"/>
      <c r="C36" s="11"/>
      <c r="D36" s="11"/>
      <c r="E36" s="11"/>
      <c r="F36" s="11"/>
      <c r="G36" s="12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9" x14ac:dyDescent="0.2">
      <c r="A37" s="11"/>
      <c r="B37" s="11"/>
      <c r="C37" s="11"/>
      <c r="D37" s="11"/>
      <c r="E37" s="11"/>
      <c r="F37" s="11"/>
      <c r="G37" s="12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9" x14ac:dyDescent="0.2">
      <c r="A38" s="11"/>
      <c r="B38" s="11"/>
      <c r="C38" s="11"/>
      <c r="D38" s="11"/>
      <c r="E38" s="11"/>
      <c r="F38" s="11"/>
      <c r="G38" s="12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9" x14ac:dyDescent="0.2">
      <c r="A39" s="11"/>
      <c r="B39" s="11"/>
      <c r="C39" s="11"/>
      <c r="D39" s="11"/>
      <c r="E39" s="11"/>
      <c r="F39" s="11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9" x14ac:dyDescent="0.2">
      <c r="A40" s="11"/>
      <c r="B40" s="11"/>
      <c r="C40" s="11"/>
      <c r="D40" s="11"/>
      <c r="E40" s="11"/>
      <c r="F40" s="11"/>
      <c r="G40" s="12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9" x14ac:dyDescent="0.2">
      <c r="A41" s="11"/>
      <c r="B41" s="11"/>
      <c r="C41" s="11"/>
      <c r="D41" s="11"/>
      <c r="E41" s="11"/>
      <c r="F41" s="11"/>
      <c r="G41" s="12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9" x14ac:dyDescent="0.2">
      <c r="A42" s="11"/>
      <c r="B42" s="11"/>
      <c r="C42" s="11"/>
      <c r="D42" s="11"/>
      <c r="E42" s="11"/>
      <c r="F42" s="11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9" x14ac:dyDescent="0.2">
      <c r="A43" s="11"/>
      <c r="B43" s="11"/>
      <c r="C43" s="11"/>
      <c r="D43" s="11"/>
      <c r="E43" s="11"/>
      <c r="F43" s="11"/>
      <c r="G43" s="1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9" x14ac:dyDescent="0.2">
      <c r="A44" s="11"/>
      <c r="B44" s="11"/>
      <c r="C44" s="11"/>
      <c r="D44" s="11"/>
      <c r="E44" s="11"/>
      <c r="F44" s="11"/>
      <c r="G44" s="12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9" x14ac:dyDescent="0.2">
      <c r="A45" s="11"/>
      <c r="B45" s="11"/>
      <c r="C45" s="11"/>
      <c r="D45" s="11"/>
      <c r="E45" s="11"/>
      <c r="F45" s="11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9" x14ac:dyDescent="0.2">
      <c r="A46" s="11"/>
      <c r="B46" s="11"/>
      <c r="C46" s="11"/>
      <c r="D46" s="11"/>
      <c r="E46" s="11"/>
      <c r="F46" s="11"/>
      <c r="G46" s="12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9" x14ac:dyDescent="0.2">
      <c r="A47" s="11"/>
      <c r="B47" s="11"/>
      <c r="C47" s="11"/>
      <c r="D47" s="11"/>
      <c r="E47" s="11"/>
      <c r="F47" s="11"/>
      <c r="G47" s="12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9" x14ac:dyDescent="0.2">
      <c r="A48" s="11"/>
      <c r="B48" s="11"/>
      <c r="C48" s="11"/>
      <c r="D48" s="11"/>
      <c r="E48" s="11"/>
      <c r="F48" s="11"/>
      <c r="G48" s="12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11"/>
      <c r="B49" s="11"/>
      <c r="C49" s="11"/>
      <c r="D49" s="11"/>
      <c r="E49" s="11"/>
      <c r="F49" s="11"/>
      <c r="G49" s="12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11"/>
      <c r="B50" s="11"/>
      <c r="C50" s="11"/>
      <c r="D50" s="11"/>
      <c r="E50" s="11"/>
      <c r="F50" s="11"/>
      <c r="G50" s="12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11"/>
      <c r="B51" s="11"/>
      <c r="C51" s="11"/>
      <c r="D51" s="11"/>
      <c r="E51" s="11"/>
      <c r="F51" s="11"/>
      <c r="G51" s="12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11"/>
      <c r="B52" s="11"/>
      <c r="C52" s="11"/>
      <c r="D52" s="11"/>
      <c r="E52" s="11"/>
      <c r="F52" s="11"/>
      <c r="G52" s="12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">
      <c r="A53" s="11"/>
      <c r="B53" s="11"/>
      <c r="C53" s="11"/>
      <c r="D53" s="11"/>
      <c r="E53" s="11"/>
      <c r="F53" s="11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">
      <c r="A54" s="11"/>
      <c r="B54" s="11"/>
      <c r="C54" s="11"/>
      <c r="D54" s="11"/>
      <c r="E54" s="11"/>
      <c r="F54" s="11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">
      <c r="A55" s="11"/>
      <c r="B55" s="11"/>
      <c r="C55" s="11"/>
      <c r="D55" s="11"/>
      <c r="E55" s="11"/>
      <c r="F55" s="11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">
      <c r="A56" s="11"/>
      <c r="B56" s="11"/>
      <c r="C56" s="11"/>
      <c r="D56" s="11"/>
      <c r="E56" s="11"/>
      <c r="F56" s="11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">
      <c r="A57" s="11"/>
      <c r="B57" s="11"/>
      <c r="C57" s="11"/>
      <c r="D57" s="11"/>
      <c r="E57" s="11"/>
      <c r="F57" s="11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">
      <c r="A58" s="11"/>
      <c r="B58" s="11"/>
      <c r="C58" s="11"/>
      <c r="D58" s="11"/>
      <c r="E58" s="11"/>
      <c r="F58" s="11"/>
      <c r="G58" s="12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">
      <c r="A59" s="11"/>
      <c r="B59" s="11"/>
      <c r="C59" s="11"/>
      <c r="D59" s="11"/>
      <c r="E59" s="11"/>
      <c r="F59" s="11"/>
      <c r="G59" s="12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">
      <c r="A60" s="11"/>
      <c r="B60" s="11"/>
      <c r="C60" s="11"/>
      <c r="D60" s="11"/>
      <c r="E60" s="11"/>
      <c r="F60" s="11"/>
      <c r="G60" s="1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">
      <c r="A61" s="11"/>
      <c r="B61" s="11"/>
      <c r="C61" s="11"/>
      <c r="D61" s="11"/>
      <c r="E61" s="11"/>
      <c r="F61" s="11"/>
      <c r="G61" s="12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">
      <c r="A62" s="11"/>
      <c r="B62" s="11"/>
      <c r="C62" s="11"/>
      <c r="D62" s="11"/>
      <c r="E62" s="11"/>
      <c r="F62" s="11"/>
      <c r="G62" s="12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">
      <c r="A63" s="11"/>
      <c r="B63" s="11"/>
      <c r="C63" s="11"/>
      <c r="D63" s="11"/>
      <c r="E63" s="11"/>
      <c r="F63" s="11"/>
      <c r="G63" s="12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">
      <c r="A64" s="11"/>
      <c r="B64" s="11"/>
      <c r="C64" s="11"/>
      <c r="D64" s="11"/>
      <c r="E64" s="11"/>
      <c r="F64" s="11"/>
      <c r="G64" s="12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">
      <c r="A65" s="11"/>
      <c r="B65" s="11"/>
      <c r="C65" s="11"/>
      <c r="D65" s="11"/>
      <c r="E65" s="11"/>
      <c r="F65" s="11"/>
      <c r="G65" s="1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">
      <c r="A66" s="11"/>
      <c r="B66" s="11"/>
      <c r="C66" s="11"/>
      <c r="D66" s="11"/>
      <c r="E66" s="11"/>
      <c r="F66" s="11"/>
      <c r="G66" s="1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">
      <c r="A67" s="11"/>
      <c r="B67" s="11"/>
      <c r="C67" s="11"/>
      <c r="D67" s="11"/>
      <c r="E67" s="11"/>
      <c r="F67" s="11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">
      <c r="A68" s="11"/>
      <c r="B68" s="11"/>
      <c r="C68" s="11"/>
      <c r="D68" s="11"/>
      <c r="E68" s="11"/>
      <c r="F68" s="11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">
      <c r="A69" s="11"/>
      <c r="B69" s="11"/>
      <c r="C69" s="11"/>
      <c r="D69" s="11"/>
      <c r="E69" s="11"/>
      <c r="F69" s="11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">
      <c r="A70" s="11"/>
      <c r="B70" s="11"/>
      <c r="C70" s="11"/>
      <c r="D70" s="11"/>
      <c r="E70" s="11"/>
      <c r="F70" s="11"/>
      <c r="G70" s="1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">
      <c r="A71" s="11"/>
      <c r="B71" s="11"/>
      <c r="C71" s="11"/>
      <c r="D71" s="11"/>
      <c r="E71" s="11"/>
      <c r="F71" s="11"/>
      <c r="G71" s="1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">
      <c r="A72" s="11"/>
      <c r="B72" s="11"/>
      <c r="C72" s="11"/>
      <c r="D72" s="11"/>
      <c r="E72" s="11"/>
      <c r="F72" s="11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">
      <c r="A73" s="11"/>
      <c r="B73" s="11"/>
      <c r="C73" s="11"/>
      <c r="D73" s="11"/>
      <c r="E73" s="11"/>
      <c r="F73" s="11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">
      <c r="A74" s="11"/>
      <c r="B74" s="11"/>
      <c r="C74" s="11"/>
      <c r="D74" s="11"/>
      <c r="E74" s="11"/>
      <c r="F74" s="11"/>
      <c r="G74" s="1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">
      <c r="A75" s="11"/>
      <c r="B75" s="11"/>
      <c r="C75" s="11"/>
      <c r="D75" s="11"/>
      <c r="E75" s="11"/>
      <c r="F75" s="11"/>
      <c r="G75" s="1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">
      <c r="A76" s="11"/>
      <c r="B76" s="11"/>
      <c r="C76" s="11"/>
      <c r="D76" s="11"/>
      <c r="E76" s="11"/>
      <c r="F76" s="11"/>
      <c r="G76" s="12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">
      <c r="A77" s="11"/>
      <c r="B77" s="11"/>
      <c r="C77" s="11"/>
      <c r="D77" s="11"/>
      <c r="E77" s="11"/>
      <c r="F77" s="11"/>
      <c r="G77" s="12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">
      <c r="A78" s="11"/>
      <c r="B78" s="11"/>
      <c r="C78" s="11"/>
      <c r="D78" s="11"/>
      <c r="E78" s="11"/>
      <c r="F78" s="11"/>
      <c r="G78" s="12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">
      <c r="A79" s="11"/>
      <c r="B79" s="11"/>
      <c r="C79" s="11"/>
      <c r="D79" s="11"/>
      <c r="E79" s="11"/>
      <c r="F79" s="11"/>
      <c r="G79" s="12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">
      <c r="A80" s="11"/>
      <c r="B80" s="11"/>
      <c r="C80" s="11"/>
      <c r="D80" s="11"/>
      <c r="E80" s="11"/>
      <c r="F80" s="11"/>
      <c r="G80" s="12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">
      <c r="A81" s="11"/>
      <c r="B81" s="11"/>
      <c r="C81" s="11"/>
      <c r="D81" s="11"/>
      <c r="E81" s="11"/>
      <c r="F81" s="11"/>
      <c r="G81" s="12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">
      <c r="A82" s="11"/>
      <c r="B82" s="11"/>
      <c r="C82" s="11"/>
      <c r="D82" s="11"/>
      <c r="E82" s="11"/>
      <c r="F82" s="11"/>
      <c r="G82" s="12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">
      <c r="A83" s="11"/>
      <c r="B83" s="11"/>
      <c r="C83" s="11"/>
      <c r="D83" s="11"/>
      <c r="E83" s="11"/>
      <c r="F83" s="11"/>
      <c r="G83" s="12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">
      <c r="A84" s="11"/>
      <c r="B84" s="11"/>
      <c r="C84" s="11"/>
      <c r="D84" s="11"/>
      <c r="E84" s="11"/>
      <c r="F84" s="11"/>
      <c r="G84" s="12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">
      <c r="A85" s="11"/>
      <c r="B85" s="11"/>
      <c r="C85" s="11"/>
      <c r="D85" s="11"/>
      <c r="E85" s="11"/>
      <c r="F85" s="11"/>
      <c r="G85" s="12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">
      <c r="A86" s="11"/>
      <c r="B86" s="11"/>
      <c r="C86" s="11"/>
      <c r="D86" s="11"/>
      <c r="E86" s="11"/>
      <c r="F86" s="11"/>
      <c r="G86" s="12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">
      <c r="A87" s="11"/>
      <c r="B87" s="11"/>
      <c r="C87" s="11"/>
      <c r="D87" s="11"/>
      <c r="E87" s="11"/>
      <c r="F87" s="11"/>
      <c r="G87" s="12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">
      <c r="A88" s="11"/>
      <c r="B88" s="11"/>
      <c r="C88" s="11"/>
      <c r="D88" s="11"/>
      <c r="E88" s="11"/>
      <c r="F88" s="11"/>
      <c r="G88" s="1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">
      <c r="A89" s="11"/>
      <c r="B89" s="11"/>
      <c r="C89" s="11"/>
      <c r="D89" s="11"/>
      <c r="E89" s="11"/>
      <c r="F89" s="11"/>
      <c r="G89" s="1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">
      <c r="A90" s="11"/>
      <c r="B90" s="11"/>
      <c r="C90" s="11"/>
      <c r="D90" s="11"/>
      <c r="E90" s="11"/>
      <c r="F90" s="11"/>
      <c r="G90" s="1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">
      <c r="A91" s="11"/>
      <c r="B91" s="11"/>
      <c r="C91" s="11"/>
      <c r="D91" s="11"/>
      <c r="E91" s="11"/>
      <c r="F91" s="11"/>
      <c r="G91" s="1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">
      <c r="A92" s="11"/>
      <c r="B92" s="11"/>
      <c r="C92" s="11"/>
      <c r="D92" s="11"/>
      <c r="E92" s="11"/>
      <c r="F92" s="11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">
      <c r="A93" s="11"/>
      <c r="B93" s="11"/>
      <c r="C93" s="11"/>
      <c r="D93" s="11"/>
      <c r="E93" s="11"/>
      <c r="F93" s="11"/>
      <c r="G93" s="1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1"/>
      <c r="B94" s="11"/>
      <c r="C94" s="11"/>
      <c r="D94" s="11"/>
      <c r="E94" s="11"/>
      <c r="F94" s="11"/>
      <c r="G94" s="1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">
      <c r="A95" s="11"/>
      <c r="B95" s="11"/>
      <c r="C95" s="11"/>
      <c r="D95" s="11"/>
      <c r="E95" s="11"/>
      <c r="F95" s="11"/>
      <c r="G95" s="1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">
      <c r="A96" s="11"/>
      <c r="B96" s="11"/>
      <c r="C96" s="11"/>
      <c r="D96" s="11"/>
      <c r="E96" s="11"/>
      <c r="F96" s="11"/>
      <c r="G96" s="1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">
      <c r="A97" s="11"/>
      <c r="B97" s="11"/>
      <c r="C97" s="11"/>
      <c r="D97" s="11"/>
      <c r="E97" s="11"/>
      <c r="F97" s="11"/>
      <c r="G97" s="1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">
      <c r="A98" s="11"/>
      <c r="B98" s="11"/>
      <c r="C98" s="11"/>
      <c r="D98" s="11"/>
      <c r="E98" s="11"/>
      <c r="F98" s="11"/>
      <c r="G98" s="1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">
      <c r="A99" s="11"/>
      <c r="B99" s="11"/>
      <c r="C99" s="11"/>
      <c r="D99" s="11"/>
      <c r="E99" s="11"/>
      <c r="F99" s="11"/>
      <c r="G99" s="1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">
      <c r="A100" s="11"/>
      <c r="B100" s="11"/>
      <c r="C100" s="11"/>
      <c r="D100" s="11"/>
      <c r="E100" s="11"/>
      <c r="F100" s="11"/>
      <c r="G100" s="1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">
      <c r="A101" s="11"/>
      <c r="B101" s="11"/>
      <c r="C101" s="11"/>
      <c r="D101" s="11"/>
      <c r="E101" s="11"/>
      <c r="F101" s="11"/>
      <c r="G101" s="1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">
      <c r="A102" s="11"/>
      <c r="B102" s="11"/>
      <c r="C102" s="11"/>
      <c r="D102" s="11"/>
      <c r="E102" s="11"/>
      <c r="F102" s="11"/>
      <c r="G102" s="1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">
      <c r="A103" s="11"/>
      <c r="B103" s="11"/>
      <c r="C103" s="11"/>
      <c r="D103" s="11"/>
      <c r="E103" s="11"/>
      <c r="F103" s="11"/>
      <c r="G103" s="1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">
      <c r="A104" s="11"/>
      <c r="B104" s="11"/>
      <c r="C104" s="11"/>
      <c r="D104" s="11"/>
      <c r="E104" s="11"/>
      <c r="F104" s="11"/>
      <c r="G104" s="1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">
      <c r="A105" s="11"/>
      <c r="B105" s="11"/>
      <c r="C105" s="11"/>
      <c r="D105" s="11"/>
      <c r="E105" s="11"/>
      <c r="F105" s="11"/>
      <c r="G105" s="1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">
      <c r="A106" s="11"/>
      <c r="B106" s="11"/>
      <c r="C106" s="11"/>
      <c r="D106" s="11"/>
      <c r="E106" s="11"/>
      <c r="F106" s="11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">
      <c r="A107" s="11"/>
      <c r="B107" s="11"/>
      <c r="C107" s="11"/>
      <c r="D107" s="11"/>
      <c r="E107" s="11"/>
      <c r="F107" s="11"/>
      <c r="G107" s="1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">
      <c r="A108" s="11"/>
      <c r="B108" s="11"/>
      <c r="C108" s="11"/>
      <c r="D108" s="11"/>
      <c r="E108" s="11"/>
      <c r="F108" s="11"/>
      <c r="G108" s="1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">
      <c r="A109" s="11"/>
      <c r="B109" s="11"/>
      <c r="C109" s="11"/>
      <c r="D109" s="11"/>
      <c r="E109" s="11"/>
      <c r="F109" s="11"/>
      <c r="G109" s="12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">
      <c r="A110" s="11"/>
      <c r="B110" s="11"/>
      <c r="C110" s="11"/>
      <c r="D110" s="11"/>
      <c r="E110" s="11"/>
      <c r="F110" s="11"/>
      <c r="G110" s="1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">
      <c r="A111" s="11"/>
      <c r="B111" s="11"/>
      <c r="C111" s="11"/>
      <c r="D111" s="11"/>
      <c r="E111" s="11"/>
      <c r="F111" s="11"/>
      <c r="G111" s="1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">
      <c r="A112" s="11"/>
      <c r="B112" s="11"/>
      <c r="C112" s="11"/>
      <c r="D112" s="11"/>
      <c r="E112" s="11"/>
      <c r="F112" s="11"/>
      <c r="G112" s="1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">
      <c r="A113" s="11"/>
      <c r="B113" s="11"/>
      <c r="C113" s="11"/>
      <c r="D113" s="11"/>
      <c r="E113" s="11"/>
      <c r="F113" s="11"/>
      <c r="G113" s="1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">
      <c r="A114" s="11"/>
      <c r="B114" s="11"/>
      <c r="C114" s="11"/>
      <c r="D114" s="11"/>
      <c r="E114" s="11"/>
      <c r="F114" s="11"/>
      <c r="G114" s="1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">
      <c r="A115" s="11"/>
      <c r="B115" s="11"/>
      <c r="C115" s="11"/>
      <c r="D115" s="11"/>
      <c r="E115" s="11"/>
      <c r="F115" s="11"/>
      <c r="G115" s="12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">
      <c r="A116" s="11"/>
      <c r="B116" s="11"/>
      <c r="C116" s="11"/>
      <c r="D116" s="11"/>
      <c r="E116" s="11"/>
      <c r="F116" s="11"/>
      <c r="G116" s="12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">
      <c r="A117" s="11"/>
      <c r="B117" s="11"/>
      <c r="C117" s="11"/>
      <c r="D117" s="11"/>
      <c r="E117" s="11"/>
      <c r="F117" s="11"/>
      <c r="G117" s="12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">
      <c r="A118" s="11"/>
      <c r="B118" s="11"/>
      <c r="C118" s="11"/>
      <c r="D118" s="11"/>
      <c r="E118" s="11"/>
      <c r="F118" s="11"/>
      <c r="G118" s="12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">
      <c r="A119" s="11"/>
      <c r="B119" s="11"/>
      <c r="C119" s="11"/>
      <c r="D119" s="11"/>
      <c r="E119" s="11"/>
      <c r="F119" s="11"/>
      <c r="G119" s="12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">
      <c r="A120" s="11"/>
      <c r="B120" s="11"/>
      <c r="C120" s="11"/>
      <c r="D120" s="11"/>
      <c r="E120" s="11"/>
      <c r="F120" s="11"/>
      <c r="G120" s="12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">
      <c r="A121" s="11"/>
      <c r="B121" s="11"/>
      <c r="C121" s="11"/>
      <c r="D121" s="11"/>
      <c r="E121" s="11"/>
      <c r="F121" s="11"/>
      <c r="G121" s="12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">
      <c r="A122" s="11"/>
      <c r="B122" s="11"/>
      <c r="C122" s="11"/>
      <c r="D122" s="11"/>
      <c r="E122" s="11"/>
      <c r="F122" s="11"/>
      <c r="G122" s="12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">
      <c r="A123" s="11"/>
      <c r="B123" s="11"/>
      <c r="C123" s="11"/>
      <c r="D123" s="11"/>
      <c r="E123" s="11"/>
      <c r="F123" s="11"/>
      <c r="G123" s="12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">
      <c r="A124" s="11"/>
      <c r="B124" s="11"/>
      <c r="C124" s="11"/>
      <c r="D124" s="11"/>
      <c r="E124" s="11"/>
      <c r="F124" s="11"/>
      <c r="G124" s="12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">
      <c r="A125" s="11"/>
      <c r="B125" s="11"/>
      <c r="C125" s="11"/>
      <c r="D125" s="11"/>
      <c r="E125" s="11"/>
      <c r="F125" s="11"/>
      <c r="G125" s="12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">
      <c r="A126" s="11"/>
      <c r="B126" s="11"/>
      <c r="C126" s="11"/>
      <c r="D126" s="11"/>
      <c r="E126" s="11"/>
      <c r="F126" s="11"/>
      <c r="G126" s="12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">
      <c r="A127" s="11"/>
      <c r="B127" s="11"/>
      <c r="C127" s="11"/>
      <c r="D127" s="11"/>
      <c r="E127" s="11"/>
      <c r="F127" s="11"/>
      <c r="G127" s="12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">
      <c r="A128" s="11"/>
      <c r="B128" s="11"/>
      <c r="C128" s="11"/>
      <c r="D128" s="11"/>
      <c r="E128" s="11"/>
      <c r="F128" s="11"/>
      <c r="G128" s="1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">
      <c r="A129" s="11"/>
      <c r="B129" s="11"/>
      <c r="C129" s="11"/>
      <c r="D129" s="11"/>
      <c r="E129" s="11"/>
      <c r="F129" s="11"/>
      <c r="G129" s="12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">
      <c r="A130" s="11"/>
      <c r="B130" s="11"/>
      <c r="C130" s="11"/>
      <c r="D130" s="11"/>
      <c r="E130" s="11"/>
      <c r="F130" s="11"/>
      <c r="G130" s="12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">
      <c r="A131" s="11"/>
      <c r="B131" s="11"/>
      <c r="C131" s="11"/>
      <c r="D131" s="11"/>
      <c r="E131" s="11"/>
      <c r="F131" s="11"/>
      <c r="G131" s="12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">
      <c r="A132" s="11"/>
      <c r="B132" s="11"/>
      <c r="C132" s="11"/>
      <c r="D132" s="11"/>
      <c r="E132" s="11"/>
      <c r="F132" s="11"/>
      <c r="G132" s="12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">
      <c r="A133" s="11"/>
      <c r="B133" s="11"/>
      <c r="C133" s="11"/>
      <c r="D133" s="11"/>
      <c r="E133" s="11"/>
      <c r="F133" s="11"/>
      <c r="G133" s="12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">
      <c r="A134" s="11"/>
      <c r="B134" s="11"/>
      <c r="C134" s="11"/>
      <c r="D134" s="11"/>
      <c r="E134" s="11"/>
      <c r="F134" s="11"/>
      <c r="G134" s="12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">
      <c r="A135" s="11"/>
      <c r="B135" s="11"/>
      <c r="C135" s="11"/>
      <c r="D135" s="11"/>
      <c r="E135" s="11"/>
      <c r="F135" s="11"/>
      <c r="G135" s="12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">
      <c r="A136" s="11"/>
      <c r="B136" s="11"/>
      <c r="C136" s="11"/>
      <c r="D136" s="11"/>
      <c r="E136" s="11"/>
      <c r="F136" s="11"/>
      <c r="G136" s="12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">
      <c r="A137" s="11"/>
      <c r="B137" s="11"/>
      <c r="C137" s="11"/>
      <c r="D137" s="11"/>
      <c r="E137" s="11"/>
      <c r="F137" s="11"/>
      <c r="G137" s="12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">
      <c r="A138" s="11"/>
      <c r="B138" s="11"/>
      <c r="C138" s="11"/>
      <c r="D138" s="11"/>
      <c r="E138" s="11"/>
      <c r="F138" s="11"/>
      <c r="G138" s="12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">
      <c r="A139" s="11"/>
      <c r="B139" s="11"/>
      <c r="C139" s="11"/>
      <c r="D139" s="11"/>
      <c r="E139" s="11"/>
      <c r="F139" s="11"/>
      <c r="G139" s="12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">
      <c r="A140" s="11"/>
      <c r="B140" s="11"/>
      <c r="C140" s="11"/>
      <c r="D140" s="11"/>
      <c r="E140" s="11"/>
      <c r="F140" s="11"/>
      <c r="G140" s="12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">
      <c r="A141" s="11"/>
      <c r="B141" s="11"/>
      <c r="C141" s="11"/>
      <c r="D141" s="11"/>
      <c r="E141" s="11"/>
      <c r="F141" s="11"/>
      <c r="G141" s="12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">
      <c r="A142" s="11"/>
      <c r="B142" s="11"/>
      <c r="C142" s="11"/>
      <c r="D142" s="11"/>
      <c r="E142" s="11"/>
      <c r="F142" s="11"/>
      <c r="G142" s="12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">
      <c r="A143" s="11"/>
      <c r="B143" s="11"/>
      <c r="C143" s="11"/>
      <c r="D143" s="11"/>
      <c r="E143" s="11"/>
      <c r="F143" s="11"/>
      <c r="G143" s="12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">
      <c r="A144" s="11"/>
      <c r="B144" s="11"/>
      <c r="C144" s="11"/>
      <c r="D144" s="11"/>
      <c r="E144" s="11"/>
      <c r="F144" s="11"/>
      <c r="G144" s="12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">
      <c r="A145" s="11"/>
      <c r="B145" s="11"/>
      <c r="C145" s="11"/>
      <c r="D145" s="11"/>
      <c r="E145" s="11"/>
      <c r="F145" s="11"/>
      <c r="G145" s="12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">
      <c r="A146" s="11"/>
      <c r="B146" s="11"/>
      <c r="C146" s="11"/>
      <c r="D146" s="11"/>
      <c r="E146" s="11"/>
      <c r="F146" s="11"/>
      <c r="G146" s="12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">
      <c r="A147" s="11"/>
      <c r="B147" s="11"/>
      <c r="C147" s="11"/>
      <c r="D147" s="11"/>
      <c r="E147" s="11"/>
      <c r="F147" s="11"/>
      <c r="G147" s="12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">
      <c r="A148" s="11"/>
      <c r="B148" s="11"/>
      <c r="C148" s="11"/>
      <c r="D148" s="11"/>
      <c r="E148" s="11"/>
      <c r="F148" s="11"/>
      <c r="G148" s="12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">
      <c r="A149" s="11"/>
      <c r="B149" s="11"/>
      <c r="C149" s="11"/>
      <c r="D149" s="11"/>
      <c r="E149" s="11"/>
      <c r="F149" s="11"/>
      <c r="G149" s="12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">
      <c r="A150" s="11"/>
      <c r="B150" s="11"/>
      <c r="C150" s="11"/>
      <c r="D150" s="11"/>
      <c r="E150" s="11"/>
      <c r="F150" s="11"/>
      <c r="G150" s="12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">
      <c r="A151" s="11"/>
      <c r="B151" s="11"/>
      <c r="C151" s="11"/>
      <c r="D151" s="11"/>
      <c r="E151" s="11"/>
      <c r="F151" s="11"/>
      <c r="G151" s="12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">
      <c r="A152" s="11"/>
      <c r="B152" s="11"/>
      <c r="C152" s="11"/>
      <c r="D152" s="11"/>
      <c r="E152" s="11"/>
      <c r="F152" s="11"/>
      <c r="G152" s="12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">
      <c r="A153" s="11"/>
      <c r="B153" s="11"/>
      <c r="C153" s="11"/>
      <c r="D153" s="11"/>
      <c r="E153" s="11"/>
      <c r="F153" s="11"/>
      <c r="G153" s="12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">
      <c r="A154" s="11"/>
      <c r="B154" s="11"/>
      <c r="C154" s="11"/>
      <c r="D154" s="11"/>
      <c r="E154" s="11"/>
      <c r="F154" s="11"/>
      <c r="G154" s="12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">
      <c r="A155" s="11"/>
      <c r="B155" s="11"/>
      <c r="C155" s="11"/>
      <c r="D155" s="11"/>
      <c r="E155" s="11"/>
      <c r="F155" s="11"/>
      <c r="G155" s="12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">
      <c r="A156" s="11"/>
      <c r="B156" s="11"/>
      <c r="C156" s="11"/>
      <c r="D156" s="11"/>
      <c r="E156" s="11"/>
      <c r="F156" s="11"/>
      <c r="G156" s="12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">
      <c r="A157" s="11"/>
      <c r="B157" s="11"/>
      <c r="C157" s="11"/>
      <c r="D157" s="11"/>
      <c r="E157" s="11"/>
      <c r="F157" s="11"/>
      <c r="G157" s="12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">
      <c r="A158" s="11"/>
      <c r="B158" s="11"/>
      <c r="C158" s="11"/>
      <c r="D158" s="11"/>
      <c r="E158" s="11"/>
      <c r="F158" s="11"/>
      <c r="G158" s="12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">
      <c r="A159" s="11"/>
      <c r="B159" s="11"/>
      <c r="C159" s="11"/>
      <c r="D159" s="11"/>
      <c r="E159" s="11"/>
      <c r="F159" s="11"/>
      <c r="G159" s="12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">
      <c r="A160" s="11"/>
      <c r="B160" s="11"/>
      <c r="C160" s="11"/>
      <c r="D160" s="11"/>
      <c r="E160" s="11"/>
      <c r="F160" s="11"/>
      <c r="G160" s="1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">
      <c r="A161" s="11"/>
      <c r="B161" s="11"/>
      <c r="C161" s="11"/>
      <c r="D161" s="11"/>
      <c r="E161" s="11"/>
      <c r="F161" s="11"/>
      <c r="G161" s="12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">
      <c r="A162" s="11"/>
      <c r="B162" s="11"/>
      <c r="C162" s="11"/>
      <c r="D162" s="11"/>
      <c r="E162" s="11"/>
      <c r="F162" s="11"/>
      <c r="G162" s="12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">
      <c r="A163" s="11"/>
      <c r="B163" s="11"/>
      <c r="C163" s="11"/>
      <c r="D163" s="11"/>
      <c r="E163" s="11"/>
      <c r="F163" s="11"/>
      <c r="G163" s="1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">
      <c r="A164" s="11"/>
      <c r="B164" s="11"/>
      <c r="C164" s="11"/>
      <c r="D164" s="11"/>
      <c r="E164" s="11"/>
      <c r="F164" s="11"/>
      <c r="G164" s="12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">
      <c r="A165" s="11"/>
      <c r="B165" s="11"/>
      <c r="C165" s="11"/>
      <c r="D165" s="11"/>
      <c r="E165" s="11"/>
      <c r="F165" s="11"/>
      <c r="G165" s="12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">
      <c r="A166" s="11"/>
      <c r="B166" s="11"/>
      <c r="C166" s="11"/>
      <c r="D166" s="11"/>
      <c r="E166" s="11"/>
      <c r="F166" s="11"/>
      <c r="G166" s="12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">
      <c r="A167" s="11"/>
      <c r="B167" s="11"/>
      <c r="C167" s="11"/>
      <c r="D167" s="11"/>
      <c r="E167" s="11"/>
      <c r="F167" s="11"/>
      <c r="G167" s="12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">
      <c r="A168" s="11"/>
      <c r="B168" s="11"/>
      <c r="C168" s="11"/>
      <c r="D168" s="11"/>
      <c r="E168" s="11"/>
      <c r="F168" s="11"/>
      <c r="G168" s="12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">
      <c r="A169" s="11"/>
      <c r="B169" s="11"/>
      <c r="C169" s="11"/>
      <c r="D169" s="11"/>
      <c r="E169" s="11"/>
      <c r="F169" s="11"/>
      <c r="G169" s="12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">
      <c r="A170" s="11"/>
      <c r="B170" s="11"/>
      <c r="C170" s="11"/>
      <c r="D170" s="11"/>
      <c r="E170" s="11"/>
      <c r="F170" s="11"/>
      <c r="G170" s="12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">
      <c r="A171" s="11"/>
      <c r="B171" s="11"/>
      <c r="C171" s="11"/>
      <c r="D171" s="11"/>
      <c r="E171" s="11"/>
      <c r="F171" s="11"/>
      <c r="G171" s="12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">
      <c r="A172" s="11"/>
      <c r="B172" s="11"/>
      <c r="C172" s="11"/>
      <c r="D172" s="11"/>
      <c r="E172" s="11"/>
      <c r="F172" s="11"/>
      <c r="G172" s="12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">
      <c r="A173" s="11"/>
      <c r="B173" s="11"/>
      <c r="C173" s="11"/>
      <c r="D173" s="11"/>
      <c r="E173" s="11"/>
      <c r="F173" s="11"/>
      <c r="G173" s="12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">
      <c r="A174" s="11"/>
      <c r="B174" s="11"/>
      <c r="C174" s="11"/>
      <c r="D174" s="11"/>
      <c r="E174" s="11"/>
      <c r="F174" s="11"/>
      <c r="G174" s="12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">
      <c r="A175" s="11"/>
      <c r="B175" s="11"/>
      <c r="C175" s="11"/>
      <c r="D175" s="11"/>
      <c r="E175" s="11"/>
      <c r="F175" s="11"/>
      <c r="G175" s="12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">
      <c r="A176" s="11"/>
      <c r="B176" s="11"/>
      <c r="C176" s="11"/>
      <c r="D176" s="11"/>
      <c r="E176" s="11"/>
      <c r="F176" s="11"/>
      <c r="G176" s="12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">
      <c r="A177" s="11"/>
      <c r="B177" s="11"/>
      <c r="C177" s="11"/>
      <c r="D177" s="11"/>
      <c r="E177" s="11"/>
      <c r="F177" s="11"/>
      <c r="G177" s="12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">
      <c r="A178" s="11"/>
      <c r="B178" s="11"/>
      <c r="C178" s="11"/>
      <c r="D178" s="11"/>
      <c r="E178" s="11"/>
      <c r="F178" s="11"/>
      <c r="G178" s="12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">
      <c r="A179" s="11"/>
      <c r="B179" s="11"/>
      <c r="C179" s="11"/>
      <c r="D179" s="11"/>
      <c r="E179" s="11"/>
      <c r="F179" s="11"/>
      <c r="G179" s="12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">
      <c r="A180" s="11"/>
      <c r="B180" s="11"/>
      <c r="C180" s="11"/>
      <c r="D180" s="11"/>
      <c r="E180" s="11"/>
      <c r="F180" s="11"/>
      <c r="G180" s="12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">
      <c r="A181" s="11"/>
      <c r="B181" s="11"/>
      <c r="C181" s="11"/>
      <c r="D181" s="11"/>
      <c r="E181" s="11"/>
      <c r="F181" s="11"/>
      <c r="G181" s="12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">
      <c r="A182" s="11"/>
      <c r="B182" s="11"/>
      <c r="C182" s="11"/>
      <c r="D182" s="11"/>
      <c r="E182" s="11"/>
      <c r="F182" s="11"/>
      <c r="G182" s="12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">
      <c r="A183" s="11"/>
      <c r="B183" s="11"/>
      <c r="C183" s="11"/>
      <c r="D183" s="11"/>
      <c r="E183" s="11"/>
      <c r="F183" s="11"/>
      <c r="G183" s="12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">
      <c r="A184" s="11"/>
      <c r="B184" s="11"/>
      <c r="C184" s="11"/>
      <c r="D184" s="11"/>
      <c r="E184" s="11"/>
      <c r="F184" s="11"/>
      <c r="G184" s="12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">
      <c r="A185" s="11"/>
      <c r="B185" s="11"/>
      <c r="C185" s="11"/>
      <c r="D185" s="11"/>
      <c r="E185" s="11"/>
      <c r="F185" s="11"/>
      <c r="G185" s="12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">
      <c r="A186" s="11"/>
      <c r="B186" s="11"/>
      <c r="C186" s="11"/>
      <c r="D186" s="11"/>
      <c r="E186" s="11"/>
      <c r="F186" s="11"/>
      <c r="G186" s="12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">
      <c r="A187" s="11"/>
      <c r="B187" s="11"/>
      <c r="C187" s="11"/>
      <c r="D187" s="11"/>
      <c r="E187" s="11"/>
      <c r="F187" s="11"/>
      <c r="G187" s="12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">
      <c r="A188" s="11"/>
      <c r="B188" s="11"/>
      <c r="C188" s="11"/>
      <c r="D188" s="11"/>
      <c r="E188" s="11"/>
      <c r="F188" s="11"/>
      <c r="G188" s="12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">
      <c r="A189" s="11"/>
      <c r="B189" s="11"/>
      <c r="C189" s="11"/>
      <c r="D189" s="11"/>
      <c r="E189" s="11"/>
      <c r="F189" s="11"/>
      <c r="G189" s="12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">
      <c r="A190" s="11"/>
      <c r="B190" s="11"/>
      <c r="C190" s="11"/>
      <c r="D190" s="11"/>
      <c r="E190" s="11"/>
      <c r="F190" s="11"/>
      <c r="G190" s="12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">
      <c r="A191" s="11"/>
      <c r="B191" s="11"/>
      <c r="C191" s="11"/>
      <c r="D191" s="11"/>
      <c r="E191" s="11"/>
      <c r="F191" s="11"/>
      <c r="G191" s="12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">
      <c r="A192" s="11"/>
      <c r="B192" s="11"/>
      <c r="C192" s="11"/>
      <c r="D192" s="11"/>
      <c r="E192" s="11"/>
      <c r="F192" s="11"/>
      <c r="G192" s="12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">
      <c r="A193" s="11"/>
      <c r="B193" s="11"/>
      <c r="C193" s="11"/>
      <c r="D193" s="11"/>
      <c r="E193" s="11"/>
      <c r="F193" s="11"/>
      <c r="G193" s="12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">
      <c r="A194" s="11"/>
      <c r="B194" s="11"/>
      <c r="C194" s="11"/>
      <c r="D194" s="11"/>
      <c r="E194" s="11"/>
      <c r="F194" s="11"/>
      <c r="G194" s="12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">
      <c r="A195" s="11"/>
      <c r="B195" s="11"/>
      <c r="C195" s="11"/>
      <c r="D195" s="11"/>
      <c r="E195" s="11"/>
      <c r="F195" s="11"/>
      <c r="G195" s="12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">
      <c r="A196" s="11"/>
      <c r="B196" s="11"/>
      <c r="C196" s="11"/>
      <c r="D196" s="11"/>
      <c r="E196" s="11"/>
      <c r="F196" s="11"/>
      <c r="G196" s="12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">
      <c r="A197" s="11"/>
      <c r="B197" s="11"/>
      <c r="C197" s="11"/>
      <c r="D197" s="11"/>
      <c r="E197" s="11"/>
      <c r="F197" s="11"/>
      <c r="G197" s="12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">
      <c r="A198" s="11"/>
      <c r="B198" s="11"/>
      <c r="C198" s="11"/>
      <c r="D198" s="11"/>
      <c r="E198" s="11"/>
      <c r="F198" s="11"/>
      <c r="G198" s="12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">
      <c r="A199" s="11"/>
      <c r="B199" s="11"/>
      <c r="C199" s="11"/>
      <c r="D199" s="11"/>
      <c r="E199" s="11"/>
      <c r="F199" s="11"/>
      <c r="G199" s="12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">
      <c r="A200" s="11"/>
      <c r="B200" s="11"/>
      <c r="C200" s="11"/>
      <c r="D200" s="11"/>
      <c r="E200" s="11"/>
      <c r="F200" s="11"/>
      <c r="G200" s="12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">
      <c r="A201" s="11"/>
      <c r="B201" s="11"/>
      <c r="C201" s="11"/>
      <c r="D201" s="11"/>
      <c r="E201" s="11"/>
      <c r="F201" s="11"/>
      <c r="G201" s="12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">
      <c r="A202" s="11"/>
      <c r="B202" s="11"/>
      <c r="C202" s="11"/>
      <c r="D202" s="11"/>
      <c r="E202" s="11"/>
      <c r="F202" s="11"/>
      <c r="G202" s="12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">
      <c r="A203" s="11"/>
      <c r="B203" s="11"/>
      <c r="C203" s="11"/>
      <c r="D203" s="11"/>
      <c r="E203" s="11"/>
      <c r="F203" s="11"/>
      <c r="G203" s="12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">
      <c r="A204" s="11"/>
      <c r="B204" s="11"/>
      <c r="C204" s="11"/>
      <c r="D204" s="11"/>
      <c r="E204" s="11"/>
      <c r="F204" s="11"/>
      <c r="G204" s="12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">
      <c r="A205" s="11"/>
      <c r="B205" s="11"/>
      <c r="C205" s="11"/>
      <c r="D205" s="11"/>
      <c r="E205" s="11"/>
      <c r="F205" s="11"/>
      <c r="G205" s="12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">
      <c r="A206" s="11"/>
      <c r="B206" s="11"/>
      <c r="C206" s="11"/>
      <c r="D206" s="11"/>
      <c r="E206" s="11"/>
      <c r="F206" s="11"/>
      <c r="G206" s="12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">
      <c r="A207" s="11"/>
      <c r="B207" s="11"/>
      <c r="C207" s="11"/>
      <c r="D207" s="11"/>
      <c r="E207" s="11"/>
      <c r="F207" s="11"/>
      <c r="G207" s="12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2">
      <c r="A208" s="11"/>
      <c r="B208" s="11"/>
      <c r="C208" s="11"/>
      <c r="D208" s="11"/>
      <c r="E208" s="11"/>
      <c r="F208" s="11"/>
      <c r="G208" s="12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">
      <c r="A209" s="11"/>
      <c r="B209" s="11"/>
      <c r="C209" s="11"/>
      <c r="D209" s="11"/>
      <c r="E209" s="11"/>
      <c r="F209" s="11"/>
      <c r="G209" s="12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2">
      <c r="A210" s="11"/>
      <c r="B210" s="11"/>
      <c r="C210" s="11"/>
      <c r="D210" s="11"/>
      <c r="E210" s="11"/>
      <c r="F210" s="11"/>
      <c r="G210" s="12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">
      <c r="A211" s="11"/>
      <c r="B211" s="11"/>
      <c r="C211" s="11"/>
      <c r="D211" s="11"/>
      <c r="E211" s="11"/>
      <c r="F211" s="11"/>
      <c r="G211" s="12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2">
      <c r="A212" s="11"/>
      <c r="B212" s="11"/>
      <c r="C212" s="11"/>
      <c r="D212" s="11"/>
      <c r="E212" s="11"/>
      <c r="F212" s="11"/>
      <c r="G212" s="12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">
      <c r="A213" s="11"/>
      <c r="B213" s="11"/>
      <c r="C213" s="11"/>
      <c r="D213" s="11"/>
      <c r="E213" s="11"/>
      <c r="F213" s="11"/>
      <c r="G213" s="12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2">
      <c r="A214" s="11"/>
      <c r="B214" s="11"/>
      <c r="C214" s="11"/>
      <c r="D214" s="11"/>
      <c r="E214" s="11"/>
      <c r="F214" s="11"/>
      <c r="G214" s="12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2">
      <c r="A215" s="11"/>
      <c r="B215" s="11"/>
      <c r="C215" s="11"/>
      <c r="D215" s="11"/>
      <c r="E215" s="11"/>
      <c r="F215" s="11"/>
      <c r="G215" s="12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2">
      <c r="A216" s="11"/>
      <c r="B216" s="11"/>
      <c r="C216" s="11"/>
      <c r="D216" s="11"/>
      <c r="E216" s="11"/>
      <c r="F216" s="11"/>
      <c r="G216" s="12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">
      <c r="A217" s="11"/>
      <c r="B217" s="11"/>
      <c r="C217" s="11"/>
      <c r="D217" s="11"/>
      <c r="E217" s="11"/>
      <c r="F217" s="11"/>
      <c r="G217" s="12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">
      <c r="A218" s="11"/>
      <c r="B218" s="11"/>
      <c r="C218" s="11"/>
      <c r="D218" s="11"/>
      <c r="E218" s="11"/>
      <c r="F218" s="11"/>
      <c r="G218" s="12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">
      <c r="A219" s="11"/>
      <c r="B219" s="11"/>
      <c r="C219" s="11"/>
      <c r="D219" s="11"/>
      <c r="E219" s="11"/>
      <c r="F219" s="11"/>
      <c r="G219" s="12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">
      <c r="A220" s="11"/>
      <c r="B220" s="11"/>
      <c r="C220" s="11"/>
      <c r="D220" s="11"/>
      <c r="E220" s="11"/>
      <c r="F220" s="11"/>
      <c r="G220" s="12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2">
      <c r="A221" s="11"/>
      <c r="B221" s="11"/>
      <c r="C221" s="11"/>
      <c r="D221" s="11"/>
      <c r="E221" s="11"/>
      <c r="F221" s="11"/>
      <c r="G221" s="12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">
      <c r="A222" s="11"/>
      <c r="B222" s="11"/>
      <c r="C222" s="11"/>
      <c r="D222" s="11"/>
      <c r="E222" s="11"/>
      <c r="F222" s="11"/>
      <c r="G222" s="12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">
      <c r="A223" s="11"/>
      <c r="B223" s="11"/>
      <c r="C223" s="11"/>
      <c r="D223" s="11"/>
      <c r="E223" s="11"/>
      <c r="F223" s="11"/>
      <c r="G223" s="12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">
      <c r="A224" s="11"/>
      <c r="B224" s="11"/>
      <c r="C224" s="11"/>
      <c r="D224" s="11"/>
      <c r="E224" s="11"/>
      <c r="F224" s="11"/>
      <c r="G224" s="12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">
      <c r="A225" s="11"/>
      <c r="B225" s="11"/>
      <c r="C225" s="11"/>
      <c r="D225" s="11"/>
      <c r="E225" s="11"/>
      <c r="F225" s="11"/>
      <c r="G225" s="12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">
      <c r="A226" s="11"/>
      <c r="B226" s="11"/>
      <c r="C226" s="11"/>
      <c r="D226" s="11"/>
      <c r="E226" s="11"/>
      <c r="F226" s="11"/>
      <c r="G226" s="12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2">
      <c r="A227" s="11"/>
      <c r="B227" s="11"/>
      <c r="C227" s="11"/>
      <c r="D227" s="11"/>
      <c r="E227" s="11"/>
      <c r="F227" s="11"/>
      <c r="G227" s="12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2">
      <c r="A228" s="11"/>
      <c r="B228" s="11"/>
      <c r="C228" s="11"/>
      <c r="D228" s="11"/>
      <c r="E228" s="11"/>
      <c r="F228" s="11"/>
      <c r="G228" s="12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2">
      <c r="A229" s="11"/>
      <c r="B229" s="11"/>
      <c r="C229" s="11"/>
      <c r="D229" s="11"/>
      <c r="E229" s="11"/>
      <c r="F229" s="11"/>
      <c r="G229" s="12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">
      <c r="A230" s="11"/>
      <c r="B230" s="11"/>
      <c r="C230" s="11"/>
      <c r="D230" s="11"/>
      <c r="E230" s="11"/>
      <c r="F230" s="11"/>
      <c r="G230" s="12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2">
      <c r="A231" s="11"/>
      <c r="B231" s="11"/>
      <c r="C231" s="11"/>
      <c r="D231" s="11"/>
      <c r="E231" s="11"/>
      <c r="F231" s="11"/>
      <c r="G231" s="12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2">
      <c r="A232" s="11"/>
      <c r="B232" s="11"/>
      <c r="C232" s="11"/>
      <c r="D232" s="11"/>
      <c r="E232" s="11"/>
      <c r="F232" s="11"/>
      <c r="G232" s="12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2">
      <c r="A233" s="11"/>
      <c r="B233" s="11"/>
      <c r="C233" s="11"/>
      <c r="D233" s="11"/>
      <c r="E233" s="11"/>
      <c r="F233" s="11"/>
      <c r="G233" s="12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2">
      <c r="A234" s="11"/>
      <c r="B234" s="11"/>
      <c r="C234" s="11"/>
      <c r="D234" s="11"/>
      <c r="E234" s="11"/>
      <c r="F234" s="11"/>
      <c r="G234" s="12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2">
      <c r="A235" s="11"/>
      <c r="B235" s="11"/>
      <c r="C235" s="11"/>
      <c r="D235" s="11"/>
      <c r="E235" s="11"/>
      <c r="F235" s="11"/>
      <c r="G235" s="12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2">
      <c r="A236" s="11"/>
      <c r="B236" s="11"/>
      <c r="C236" s="11"/>
      <c r="D236" s="11"/>
      <c r="E236" s="11"/>
      <c r="F236" s="11"/>
      <c r="G236" s="12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2">
      <c r="A237" s="11"/>
      <c r="B237" s="11"/>
      <c r="C237" s="11"/>
      <c r="D237" s="11"/>
      <c r="E237" s="11"/>
      <c r="F237" s="11"/>
      <c r="G237" s="12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2">
      <c r="A238" s="11"/>
      <c r="B238" s="11"/>
      <c r="C238" s="11"/>
      <c r="D238" s="11"/>
      <c r="E238" s="11"/>
      <c r="F238" s="11"/>
      <c r="G238" s="12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2">
      <c r="A239" s="11"/>
      <c r="B239" s="11"/>
      <c r="C239" s="11"/>
      <c r="D239" s="11"/>
      <c r="E239" s="11"/>
      <c r="F239" s="11"/>
      <c r="G239" s="12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2">
      <c r="A240" s="11"/>
      <c r="B240" s="11"/>
      <c r="C240" s="11"/>
      <c r="D240" s="11"/>
      <c r="E240" s="11"/>
      <c r="F240" s="11"/>
      <c r="G240" s="12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2">
      <c r="A241" s="11"/>
      <c r="B241" s="11"/>
      <c r="C241" s="11"/>
      <c r="D241" s="11"/>
      <c r="E241" s="11"/>
      <c r="F241" s="11"/>
      <c r="G241" s="12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">
      <c r="A242" s="11"/>
      <c r="B242" s="11"/>
      <c r="C242" s="11"/>
      <c r="D242" s="11"/>
      <c r="E242" s="11"/>
      <c r="F242" s="11"/>
      <c r="G242" s="12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2">
      <c r="A243" s="11"/>
      <c r="B243" s="11"/>
      <c r="C243" s="11"/>
      <c r="D243" s="11"/>
      <c r="E243" s="11"/>
      <c r="F243" s="11"/>
      <c r="G243" s="12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">
      <c r="A244" s="11"/>
      <c r="B244" s="11"/>
      <c r="C244" s="11"/>
      <c r="D244" s="11"/>
      <c r="E244" s="11"/>
      <c r="F244" s="11"/>
      <c r="G244" s="12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2">
      <c r="A245" s="11"/>
      <c r="B245" s="11"/>
      <c r="C245" s="11"/>
      <c r="D245" s="11"/>
      <c r="E245" s="11"/>
      <c r="F245" s="11"/>
      <c r="G245" s="12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">
      <c r="A246" s="11"/>
      <c r="B246" s="11"/>
      <c r="C246" s="11"/>
      <c r="D246" s="11"/>
      <c r="E246" s="11"/>
      <c r="F246" s="11"/>
      <c r="G246" s="12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2">
      <c r="A247" s="11"/>
      <c r="B247" s="11"/>
      <c r="C247" s="11"/>
      <c r="D247" s="11"/>
      <c r="E247" s="11"/>
      <c r="F247" s="11"/>
      <c r="G247" s="12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2">
      <c r="A248" s="11"/>
      <c r="B248" s="11"/>
      <c r="C248" s="11"/>
      <c r="D248" s="11"/>
      <c r="E248" s="11"/>
      <c r="F248" s="11"/>
      <c r="G248" s="12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">
      <c r="A249" s="11"/>
      <c r="B249" s="11"/>
      <c r="C249" s="11"/>
      <c r="D249" s="11"/>
      <c r="E249" s="11"/>
      <c r="F249" s="11"/>
      <c r="G249" s="12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2">
      <c r="A250" s="11"/>
      <c r="B250" s="11"/>
      <c r="C250" s="11"/>
      <c r="D250" s="11"/>
      <c r="E250" s="11"/>
      <c r="F250" s="11"/>
      <c r="G250" s="12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2">
      <c r="A251" s="11"/>
      <c r="B251" s="11"/>
      <c r="C251" s="11"/>
      <c r="D251" s="11"/>
      <c r="E251" s="11"/>
      <c r="F251" s="11"/>
      <c r="G251" s="12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2">
      <c r="A252" s="11"/>
      <c r="B252" s="11"/>
      <c r="C252" s="11"/>
      <c r="D252" s="11"/>
      <c r="E252" s="11"/>
      <c r="F252" s="11"/>
      <c r="G252" s="12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">
      <c r="A253" s="11"/>
      <c r="B253" s="11"/>
      <c r="C253" s="11"/>
      <c r="D253" s="11"/>
      <c r="E253" s="11"/>
      <c r="F253" s="11"/>
      <c r="G253" s="12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2">
      <c r="A254" s="11"/>
      <c r="B254" s="11"/>
      <c r="C254" s="11"/>
      <c r="D254" s="11"/>
      <c r="E254" s="11"/>
      <c r="F254" s="11"/>
      <c r="G254" s="12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">
      <c r="A255" s="11"/>
      <c r="B255" s="11"/>
      <c r="C255" s="11"/>
      <c r="D255" s="11"/>
      <c r="E255" s="11"/>
      <c r="F255" s="11"/>
      <c r="G255" s="12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2">
      <c r="A256" s="11"/>
      <c r="B256" s="11"/>
      <c r="C256" s="11"/>
      <c r="D256" s="11"/>
      <c r="E256" s="11"/>
      <c r="F256" s="11"/>
      <c r="G256" s="12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">
      <c r="A257" s="11"/>
      <c r="B257" s="11"/>
      <c r="C257" s="11"/>
      <c r="D257" s="11"/>
      <c r="E257" s="11"/>
      <c r="F257" s="11"/>
      <c r="G257" s="12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">
      <c r="A258" s="11"/>
      <c r="B258" s="11"/>
      <c r="C258" s="11"/>
      <c r="D258" s="11"/>
      <c r="E258" s="11"/>
      <c r="F258" s="11"/>
      <c r="G258" s="12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2">
      <c r="A259" s="11"/>
      <c r="B259" s="11"/>
      <c r="C259" s="11"/>
      <c r="D259" s="11"/>
      <c r="E259" s="11"/>
      <c r="F259" s="11"/>
      <c r="G259" s="12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2">
      <c r="A260" s="11"/>
      <c r="B260" s="11"/>
      <c r="C260" s="11"/>
      <c r="D260" s="11"/>
      <c r="E260" s="11"/>
      <c r="F260" s="11"/>
      <c r="G260" s="12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2">
      <c r="A261" s="11"/>
      <c r="B261" s="11"/>
      <c r="C261" s="11"/>
      <c r="D261" s="11"/>
      <c r="E261" s="11"/>
      <c r="F261" s="11"/>
      <c r="G261" s="12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2">
      <c r="A262" s="11"/>
      <c r="B262" s="11"/>
      <c r="C262" s="11"/>
      <c r="D262" s="11"/>
      <c r="E262" s="11"/>
      <c r="F262" s="11"/>
      <c r="G262" s="12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2">
      <c r="A263" s="11"/>
      <c r="B263" s="11"/>
      <c r="C263" s="11"/>
      <c r="D263" s="11"/>
      <c r="E263" s="11"/>
      <c r="F263" s="11"/>
      <c r="G263" s="12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2">
      <c r="A264" s="11"/>
      <c r="B264" s="11"/>
      <c r="C264" s="11"/>
      <c r="D264" s="11"/>
      <c r="E264" s="11"/>
      <c r="F264" s="11"/>
      <c r="G264" s="12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">
      <c r="A265" s="11"/>
      <c r="B265" s="11"/>
      <c r="C265" s="11"/>
      <c r="D265" s="11"/>
      <c r="E265" s="11"/>
      <c r="F265" s="11"/>
      <c r="G265" s="12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2">
      <c r="A266" s="11"/>
      <c r="B266" s="11"/>
      <c r="C266" s="11"/>
      <c r="D266" s="11"/>
      <c r="E266" s="11"/>
      <c r="F266" s="11"/>
      <c r="G266" s="12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2">
      <c r="A267" s="11"/>
      <c r="B267" s="11"/>
      <c r="C267" s="11"/>
      <c r="D267" s="11"/>
      <c r="E267" s="11"/>
      <c r="F267" s="11"/>
      <c r="G267" s="12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2">
      <c r="A268" s="11"/>
      <c r="B268" s="11"/>
      <c r="C268" s="11"/>
      <c r="D268" s="11"/>
      <c r="E268" s="11"/>
      <c r="F268" s="11"/>
      <c r="G268" s="12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">
      <c r="A269" s="11"/>
      <c r="B269" s="11"/>
      <c r="C269" s="11"/>
      <c r="D269" s="11"/>
      <c r="E269" s="11"/>
      <c r="F269" s="11"/>
      <c r="G269" s="12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">
      <c r="A270" s="11"/>
      <c r="B270" s="11"/>
      <c r="C270" s="11"/>
      <c r="D270" s="11"/>
      <c r="E270" s="11"/>
      <c r="F270" s="11"/>
      <c r="G270" s="12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">
      <c r="A271" s="11"/>
      <c r="B271" s="11"/>
      <c r="C271" s="11"/>
      <c r="D271" s="11"/>
      <c r="E271" s="11"/>
      <c r="F271" s="11"/>
      <c r="G271" s="12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2">
      <c r="A272" s="11"/>
      <c r="B272" s="11"/>
      <c r="C272" s="11"/>
      <c r="D272" s="11"/>
      <c r="E272" s="11"/>
      <c r="F272" s="11"/>
      <c r="G272" s="1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2">
      <c r="A273" s="11"/>
      <c r="B273" s="11"/>
      <c r="C273" s="11"/>
      <c r="D273" s="11"/>
      <c r="E273" s="11"/>
      <c r="F273" s="11"/>
      <c r="G273" s="12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2">
      <c r="A274" s="11"/>
      <c r="B274" s="11"/>
      <c r="C274" s="11"/>
      <c r="D274" s="11"/>
      <c r="E274" s="11"/>
      <c r="F274" s="11"/>
      <c r="G274" s="12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2">
      <c r="A275" s="11"/>
      <c r="B275" s="11"/>
      <c r="C275" s="11"/>
      <c r="D275" s="11"/>
      <c r="E275" s="11"/>
      <c r="F275" s="11"/>
      <c r="G275" s="12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2">
      <c r="A276" s="11"/>
      <c r="B276" s="11"/>
      <c r="C276" s="11"/>
      <c r="D276" s="11"/>
      <c r="E276" s="11"/>
      <c r="F276" s="11"/>
      <c r="G276" s="12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2">
      <c r="A277" s="11"/>
      <c r="B277" s="11"/>
      <c r="C277" s="11"/>
      <c r="D277" s="11"/>
      <c r="E277" s="11"/>
      <c r="F277" s="11"/>
      <c r="G277" s="12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2">
      <c r="A278" s="11"/>
      <c r="B278" s="11"/>
      <c r="C278" s="11"/>
      <c r="D278" s="11"/>
      <c r="E278" s="11"/>
      <c r="F278" s="11"/>
      <c r="G278" s="12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2">
      <c r="A279" s="11"/>
      <c r="B279" s="11"/>
      <c r="C279" s="11"/>
      <c r="D279" s="11"/>
      <c r="E279" s="11"/>
      <c r="F279" s="11"/>
      <c r="G279" s="12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2">
      <c r="A280" s="11"/>
      <c r="B280" s="11"/>
      <c r="C280" s="11"/>
      <c r="D280" s="11"/>
      <c r="E280" s="11"/>
      <c r="F280" s="11"/>
      <c r="G280" s="12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2">
      <c r="A281" s="11"/>
      <c r="B281" s="11"/>
      <c r="C281" s="11"/>
      <c r="D281" s="11"/>
      <c r="E281" s="11"/>
      <c r="F281" s="11"/>
      <c r="G281" s="12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2">
      <c r="A282" s="11"/>
      <c r="B282" s="11"/>
      <c r="C282" s="11"/>
      <c r="D282" s="11"/>
      <c r="E282" s="11"/>
      <c r="F282" s="11"/>
      <c r="G282" s="12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">
      <c r="A283" s="11"/>
      <c r="B283" s="11"/>
      <c r="C283" s="11"/>
      <c r="D283" s="11"/>
      <c r="E283" s="11"/>
      <c r="F283" s="11"/>
      <c r="G283" s="12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2">
      <c r="A284" s="11"/>
      <c r="B284" s="11"/>
      <c r="C284" s="11"/>
      <c r="D284" s="11"/>
      <c r="E284" s="11"/>
      <c r="F284" s="11"/>
      <c r="G284" s="12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2">
      <c r="A285" s="11"/>
      <c r="B285" s="11"/>
      <c r="C285" s="11"/>
      <c r="D285" s="11"/>
      <c r="E285" s="11"/>
      <c r="F285" s="11"/>
      <c r="G285" s="12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">
      <c r="A286" s="11"/>
      <c r="B286" s="11"/>
      <c r="C286" s="11"/>
      <c r="D286" s="11"/>
      <c r="E286" s="11"/>
      <c r="F286" s="11"/>
      <c r="G286" s="12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">
      <c r="A287" s="11"/>
      <c r="B287" s="11"/>
      <c r="C287" s="11"/>
      <c r="D287" s="11"/>
      <c r="E287" s="11"/>
      <c r="F287" s="11"/>
      <c r="G287" s="12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2">
      <c r="A288" s="11"/>
      <c r="B288" s="11"/>
      <c r="C288" s="11"/>
      <c r="D288" s="11"/>
      <c r="E288" s="11"/>
      <c r="F288" s="11"/>
      <c r="G288" s="12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2">
      <c r="A289" s="11"/>
      <c r="B289" s="11"/>
      <c r="C289" s="11"/>
      <c r="D289" s="11"/>
      <c r="E289" s="11"/>
      <c r="F289" s="11"/>
      <c r="G289" s="12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2">
      <c r="A290" s="11"/>
      <c r="B290" s="11"/>
      <c r="C290" s="11"/>
      <c r="D290" s="11"/>
      <c r="E290" s="11"/>
      <c r="F290" s="11"/>
      <c r="G290" s="12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">
      <c r="A291" s="11"/>
      <c r="B291" s="11"/>
      <c r="C291" s="11"/>
      <c r="D291" s="11"/>
      <c r="E291" s="11"/>
      <c r="F291" s="11"/>
      <c r="G291" s="12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2">
      <c r="A292" s="11"/>
      <c r="B292" s="11"/>
      <c r="C292" s="11"/>
      <c r="D292" s="11"/>
      <c r="E292" s="11"/>
      <c r="F292" s="11"/>
      <c r="G292" s="12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">
      <c r="A293" s="11"/>
      <c r="B293" s="11"/>
      <c r="C293" s="11"/>
      <c r="D293" s="11"/>
      <c r="E293" s="11"/>
      <c r="F293" s="11"/>
      <c r="G293" s="12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2">
      <c r="A294" s="11"/>
      <c r="B294" s="11"/>
      <c r="C294" s="11"/>
      <c r="D294" s="11"/>
      <c r="E294" s="11"/>
      <c r="F294" s="11"/>
      <c r="G294" s="12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2">
      <c r="A295" s="11"/>
      <c r="B295" s="11"/>
      <c r="C295" s="11"/>
      <c r="D295" s="11"/>
      <c r="E295" s="11"/>
      <c r="F295" s="11"/>
      <c r="G295" s="12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2">
      <c r="A296" s="11"/>
      <c r="B296" s="11"/>
      <c r="C296" s="11"/>
      <c r="D296" s="11"/>
      <c r="E296" s="11"/>
      <c r="F296" s="11"/>
      <c r="G296" s="12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2">
      <c r="A297" s="11"/>
      <c r="B297" s="11"/>
      <c r="C297" s="11"/>
      <c r="D297" s="11"/>
      <c r="E297" s="11"/>
      <c r="F297" s="11"/>
      <c r="G297" s="12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2">
      <c r="A298" s="11"/>
      <c r="B298" s="11"/>
      <c r="C298" s="11"/>
      <c r="D298" s="11"/>
      <c r="E298" s="11"/>
      <c r="F298" s="11"/>
      <c r="G298" s="12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2">
      <c r="A299" s="11"/>
      <c r="B299" s="11"/>
      <c r="C299" s="11"/>
      <c r="D299" s="11"/>
      <c r="E299" s="11"/>
      <c r="F299" s="11"/>
      <c r="G299" s="12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2">
      <c r="A300" s="11"/>
      <c r="B300" s="11"/>
      <c r="C300" s="11"/>
      <c r="D300" s="11"/>
      <c r="E300" s="11"/>
      <c r="F300" s="11"/>
      <c r="G300" s="12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2">
      <c r="A301" s="11"/>
      <c r="B301" s="11"/>
      <c r="C301" s="11"/>
      <c r="D301" s="11"/>
      <c r="E301" s="11"/>
      <c r="F301" s="11"/>
      <c r="G301" s="12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2">
      <c r="A302" s="11"/>
      <c r="B302" s="11"/>
      <c r="C302" s="11"/>
      <c r="D302" s="11"/>
      <c r="E302" s="11"/>
      <c r="F302" s="11"/>
      <c r="G302" s="12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2">
      <c r="A303" s="11"/>
      <c r="B303" s="11"/>
      <c r="C303" s="11"/>
      <c r="D303" s="11"/>
      <c r="E303" s="11"/>
      <c r="F303" s="11"/>
      <c r="G303" s="1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2">
      <c r="A304" s="11"/>
      <c r="B304" s="11"/>
      <c r="C304" s="11"/>
      <c r="D304" s="11"/>
      <c r="E304" s="11"/>
      <c r="F304" s="11"/>
      <c r="G304" s="1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2">
      <c r="A305" s="11"/>
      <c r="B305" s="11"/>
      <c r="C305" s="11"/>
      <c r="D305" s="11"/>
      <c r="E305" s="11"/>
      <c r="F305" s="11"/>
      <c r="G305" s="1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2">
      <c r="A306" s="11"/>
      <c r="B306" s="11"/>
      <c r="C306" s="11"/>
      <c r="D306" s="11"/>
      <c r="E306" s="11"/>
      <c r="F306" s="11"/>
      <c r="G306" s="1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2">
      <c r="A307" s="11"/>
      <c r="B307" s="11"/>
      <c r="C307" s="11"/>
      <c r="D307" s="11"/>
      <c r="E307" s="11"/>
      <c r="F307" s="11"/>
      <c r="G307" s="1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2">
      <c r="A308" s="11"/>
      <c r="B308" s="11"/>
      <c r="C308" s="11"/>
      <c r="D308" s="11"/>
      <c r="E308" s="11"/>
      <c r="F308" s="11"/>
      <c r="G308" s="1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2">
      <c r="A309" s="11"/>
      <c r="B309" s="11"/>
      <c r="C309" s="11"/>
      <c r="D309" s="11"/>
      <c r="E309" s="11"/>
      <c r="F309" s="11"/>
      <c r="G309" s="1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2">
      <c r="A310" s="11"/>
      <c r="B310" s="11"/>
      <c r="C310" s="11"/>
      <c r="D310" s="11"/>
      <c r="E310" s="11"/>
      <c r="F310" s="11"/>
      <c r="G310" s="1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2">
      <c r="A311" s="11"/>
      <c r="B311" s="11"/>
      <c r="C311" s="11"/>
      <c r="D311" s="11"/>
      <c r="E311" s="11"/>
      <c r="F311" s="11"/>
      <c r="G311" s="1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2">
      <c r="A312" s="11"/>
      <c r="B312" s="11"/>
      <c r="C312" s="11"/>
      <c r="D312" s="11"/>
      <c r="E312" s="11"/>
      <c r="F312" s="11"/>
      <c r="G312" s="1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2">
      <c r="A313" s="11"/>
      <c r="B313" s="11"/>
      <c r="C313" s="11"/>
      <c r="D313" s="11"/>
      <c r="E313" s="11"/>
      <c r="F313" s="11"/>
      <c r="G313" s="1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2">
      <c r="A314" s="11"/>
      <c r="B314" s="11"/>
      <c r="C314" s="11"/>
      <c r="D314" s="11"/>
      <c r="E314" s="11"/>
      <c r="F314" s="11"/>
      <c r="G314" s="1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2">
      <c r="A315" s="11"/>
      <c r="B315" s="11"/>
      <c r="C315" s="11"/>
      <c r="D315" s="11"/>
      <c r="E315" s="11"/>
      <c r="F315" s="11"/>
      <c r="G315" s="1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2">
      <c r="A316" s="11"/>
      <c r="B316" s="11"/>
      <c r="C316" s="11"/>
      <c r="D316" s="11"/>
      <c r="E316" s="11"/>
      <c r="F316" s="11"/>
      <c r="G316" s="1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2">
      <c r="A317" s="11"/>
      <c r="B317" s="11"/>
      <c r="C317" s="11"/>
      <c r="D317" s="11"/>
      <c r="E317" s="11"/>
      <c r="F317" s="11"/>
      <c r="G317" s="1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2">
      <c r="A318" s="11"/>
      <c r="B318" s="11"/>
      <c r="C318" s="11"/>
      <c r="D318" s="11"/>
      <c r="E318" s="11"/>
      <c r="F318" s="11"/>
      <c r="G318" s="1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2">
      <c r="A319" s="11"/>
      <c r="B319" s="11"/>
      <c r="C319" s="11"/>
      <c r="D319" s="11"/>
      <c r="E319" s="11"/>
      <c r="F319" s="11"/>
      <c r="G319" s="1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2">
      <c r="A320" s="11"/>
      <c r="B320" s="11"/>
      <c r="C320" s="11"/>
      <c r="D320" s="11"/>
      <c r="E320" s="11"/>
      <c r="F320" s="11"/>
      <c r="G320" s="1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2">
      <c r="A321" s="11"/>
      <c r="B321" s="11"/>
      <c r="C321" s="11"/>
      <c r="D321" s="11"/>
      <c r="E321" s="11"/>
      <c r="F321" s="11"/>
      <c r="G321" s="1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2">
      <c r="A322" s="11"/>
      <c r="B322" s="11"/>
      <c r="C322" s="11"/>
      <c r="D322" s="11"/>
      <c r="E322" s="11"/>
      <c r="F322" s="11"/>
      <c r="G322" s="1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2">
      <c r="A323" s="11"/>
      <c r="B323" s="11"/>
      <c r="C323" s="11"/>
      <c r="D323" s="11"/>
      <c r="E323" s="11"/>
      <c r="F323" s="11"/>
      <c r="G323" s="1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2">
      <c r="A324" s="11"/>
      <c r="B324" s="11"/>
      <c r="C324" s="11"/>
      <c r="D324" s="11"/>
      <c r="E324" s="11"/>
      <c r="F324" s="11"/>
      <c r="G324" s="1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2">
      <c r="A325" s="11"/>
      <c r="B325" s="11"/>
      <c r="C325" s="11"/>
      <c r="D325" s="11"/>
      <c r="E325" s="11"/>
      <c r="F325" s="11"/>
      <c r="G325" s="1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2">
      <c r="A326" s="11"/>
      <c r="B326" s="11"/>
      <c r="C326" s="11"/>
      <c r="D326" s="11"/>
      <c r="E326" s="11"/>
      <c r="F326" s="11"/>
      <c r="G326" s="1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2">
      <c r="A327" s="11"/>
      <c r="B327" s="11"/>
      <c r="C327" s="11"/>
      <c r="D327" s="11"/>
      <c r="E327" s="11"/>
      <c r="F327" s="11"/>
      <c r="G327" s="1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2">
      <c r="A328" s="11"/>
      <c r="B328" s="11"/>
      <c r="C328" s="11"/>
      <c r="D328" s="11"/>
      <c r="E328" s="11"/>
      <c r="F328" s="11"/>
      <c r="G328" s="1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2">
      <c r="A329" s="11"/>
      <c r="B329" s="11"/>
      <c r="C329" s="11"/>
      <c r="D329" s="11"/>
      <c r="E329" s="11"/>
      <c r="F329" s="11"/>
      <c r="G329" s="1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2">
      <c r="A330" s="11"/>
      <c r="B330" s="11"/>
      <c r="C330" s="11"/>
      <c r="D330" s="11"/>
      <c r="E330" s="11"/>
      <c r="F330" s="11"/>
      <c r="G330" s="1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2">
      <c r="A331" s="11"/>
      <c r="B331" s="11"/>
      <c r="C331" s="11"/>
      <c r="D331" s="11"/>
      <c r="E331" s="11"/>
      <c r="F331" s="11"/>
      <c r="G331" s="1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2">
      <c r="A332" s="11"/>
      <c r="B332" s="11"/>
      <c r="C332" s="11"/>
      <c r="D332" s="11"/>
      <c r="E332" s="11"/>
      <c r="F332" s="11"/>
      <c r="G332" s="1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2">
      <c r="A333" s="11"/>
      <c r="B333" s="11"/>
      <c r="C333" s="11"/>
      <c r="D333" s="11"/>
      <c r="E333" s="11"/>
      <c r="F333" s="11"/>
      <c r="G333" s="1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2">
      <c r="A334" s="11"/>
      <c r="B334" s="11"/>
      <c r="C334" s="11"/>
      <c r="D334" s="11"/>
      <c r="E334" s="11"/>
      <c r="F334" s="11"/>
      <c r="G334" s="1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2">
      <c r="A335" s="11"/>
      <c r="B335" s="11"/>
      <c r="C335" s="11"/>
      <c r="D335" s="11"/>
      <c r="E335" s="11"/>
      <c r="F335" s="11"/>
      <c r="G335" s="1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2">
      <c r="A336" s="11"/>
      <c r="B336" s="11"/>
      <c r="C336" s="11"/>
      <c r="D336" s="11"/>
      <c r="E336" s="11"/>
      <c r="F336" s="11"/>
      <c r="G336" s="1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2">
      <c r="A337" s="11"/>
      <c r="B337" s="11"/>
      <c r="C337" s="11"/>
      <c r="D337" s="11"/>
      <c r="E337" s="11"/>
      <c r="F337" s="11"/>
      <c r="G337" s="1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2">
      <c r="A338" s="11"/>
      <c r="B338" s="11"/>
      <c r="C338" s="11"/>
      <c r="D338" s="11"/>
      <c r="E338" s="11"/>
      <c r="F338" s="11"/>
      <c r="G338" s="1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2">
      <c r="A339" s="11"/>
      <c r="B339" s="11"/>
      <c r="C339" s="11"/>
      <c r="D339" s="11"/>
      <c r="E339" s="11"/>
      <c r="F339" s="11"/>
      <c r="G339" s="1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2">
      <c r="A340" s="11"/>
      <c r="B340" s="11"/>
      <c r="C340" s="11"/>
      <c r="D340" s="11"/>
      <c r="E340" s="11"/>
      <c r="F340" s="11"/>
      <c r="G340" s="1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2">
      <c r="A341" s="11"/>
      <c r="B341" s="11"/>
      <c r="C341" s="11"/>
      <c r="D341" s="11"/>
      <c r="E341" s="11"/>
      <c r="F341" s="11"/>
      <c r="G341" s="1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2">
      <c r="A342" s="11"/>
      <c r="B342" s="11"/>
      <c r="C342" s="11"/>
      <c r="D342" s="11"/>
      <c r="E342" s="11"/>
      <c r="F342" s="11"/>
      <c r="G342" s="1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2">
      <c r="A343" s="11"/>
      <c r="B343" s="11"/>
      <c r="C343" s="11"/>
      <c r="D343" s="11"/>
      <c r="E343" s="11"/>
      <c r="F343" s="11"/>
      <c r="G343" s="1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2">
      <c r="A344" s="11"/>
      <c r="B344" s="11"/>
      <c r="C344" s="11"/>
      <c r="D344" s="11"/>
      <c r="E344" s="11"/>
      <c r="F344" s="11"/>
      <c r="G344" s="1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2">
      <c r="A345" s="11"/>
      <c r="B345" s="11"/>
      <c r="C345" s="11"/>
      <c r="D345" s="11"/>
      <c r="E345" s="11"/>
      <c r="F345" s="11"/>
      <c r="G345" s="1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2">
      <c r="A346" s="11"/>
      <c r="B346" s="11"/>
      <c r="C346" s="11"/>
      <c r="D346" s="11"/>
      <c r="E346" s="11"/>
      <c r="F346" s="11"/>
      <c r="G346" s="1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2">
      <c r="A347" s="11"/>
      <c r="B347" s="11"/>
      <c r="C347" s="11"/>
      <c r="D347" s="11"/>
      <c r="E347" s="11"/>
      <c r="F347" s="11"/>
      <c r="G347" s="1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2">
      <c r="A348" s="11"/>
      <c r="B348" s="11"/>
      <c r="C348" s="11"/>
      <c r="D348" s="11"/>
      <c r="E348" s="11"/>
      <c r="F348" s="11"/>
      <c r="G348" s="1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2">
      <c r="A349" s="11"/>
      <c r="B349" s="11"/>
      <c r="C349" s="11"/>
      <c r="D349" s="11"/>
      <c r="E349" s="11"/>
      <c r="F349" s="11"/>
      <c r="G349" s="1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2">
      <c r="A350" s="11"/>
      <c r="B350" s="11"/>
      <c r="C350" s="11"/>
      <c r="D350" s="11"/>
      <c r="E350" s="11"/>
      <c r="F350" s="11"/>
      <c r="G350" s="1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2">
      <c r="A351" s="11"/>
      <c r="B351" s="11"/>
      <c r="C351" s="11"/>
      <c r="D351" s="11"/>
      <c r="E351" s="11"/>
      <c r="F351" s="11"/>
      <c r="G351" s="1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2">
      <c r="A352" s="11"/>
      <c r="B352" s="11"/>
      <c r="C352" s="11"/>
      <c r="D352" s="11"/>
      <c r="E352" s="11"/>
      <c r="F352" s="11"/>
      <c r="G352" s="1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2">
      <c r="A353" s="11"/>
      <c r="B353" s="11"/>
      <c r="C353" s="11"/>
      <c r="D353" s="11"/>
      <c r="E353" s="11"/>
      <c r="F353" s="11"/>
      <c r="G353" s="1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2">
      <c r="A354" s="11"/>
      <c r="B354" s="11"/>
      <c r="C354" s="11"/>
      <c r="D354" s="11"/>
      <c r="E354" s="11"/>
      <c r="F354" s="11"/>
      <c r="G354" s="1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2">
      <c r="A355" s="11"/>
      <c r="B355" s="11"/>
      <c r="C355" s="11"/>
      <c r="D355" s="11"/>
      <c r="E355" s="11"/>
      <c r="F355" s="11"/>
      <c r="G355" s="1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2">
      <c r="A356" s="11"/>
      <c r="B356" s="11"/>
      <c r="C356" s="11"/>
      <c r="D356" s="11"/>
      <c r="E356" s="11"/>
      <c r="F356" s="11"/>
      <c r="G356" s="1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2">
      <c r="A357" s="11"/>
      <c r="B357" s="11"/>
      <c r="C357" s="11"/>
      <c r="D357" s="11"/>
      <c r="E357" s="11"/>
      <c r="F357" s="11"/>
      <c r="G357" s="1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2">
      <c r="A358" s="11"/>
      <c r="B358" s="11"/>
      <c r="C358" s="11"/>
      <c r="D358" s="11"/>
      <c r="E358" s="11"/>
      <c r="F358" s="11"/>
      <c r="G358" s="1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2">
      <c r="A359" s="11"/>
      <c r="B359" s="11"/>
      <c r="C359" s="11"/>
      <c r="D359" s="11"/>
      <c r="E359" s="11"/>
      <c r="F359" s="11"/>
      <c r="G359" s="1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2">
      <c r="A360" s="11"/>
      <c r="B360" s="11"/>
      <c r="C360" s="11"/>
      <c r="D360" s="11"/>
      <c r="E360" s="11"/>
      <c r="F360" s="11"/>
      <c r="G360" s="1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2">
      <c r="A361" s="11"/>
      <c r="B361" s="11"/>
      <c r="C361" s="11"/>
      <c r="D361" s="11"/>
      <c r="E361" s="11"/>
      <c r="F361" s="11"/>
      <c r="G361" s="1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2">
      <c r="A362" s="11"/>
      <c r="B362" s="11"/>
      <c r="C362" s="11"/>
      <c r="D362" s="11"/>
      <c r="E362" s="11"/>
      <c r="F362" s="11"/>
      <c r="G362" s="1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2">
      <c r="A363" s="11"/>
      <c r="B363" s="11"/>
      <c r="C363" s="11"/>
      <c r="D363" s="11"/>
      <c r="E363" s="11"/>
      <c r="F363" s="11"/>
      <c r="G363" s="1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2">
      <c r="A364" s="11"/>
      <c r="B364" s="11"/>
      <c r="C364" s="11"/>
      <c r="D364" s="11"/>
      <c r="E364" s="11"/>
      <c r="F364" s="11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2">
      <c r="A365" s="11"/>
      <c r="B365" s="11"/>
      <c r="C365" s="11"/>
      <c r="D365" s="11"/>
      <c r="E365" s="11"/>
      <c r="F365" s="11"/>
      <c r="G365" s="1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2">
      <c r="A366" s="11"/>
      <c r="B366" s="11"/>
      <c r="C366" s="11"/>
      <c r="D366" s="11"/>
      <c r="E366" s="11"/>
      <c r="F366" s="11"/>
      <c r="G366" s="1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2">
      <c r="A367" s="11"/>
      <c r="B367" s="11"/>
      <c r="C367" s="11"/>
      <c r="D367" s="11"/>
      <c r="E367" s="11"/>
      <c r="F367" s="11"/>
      <c r="G367" s="1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2">
      <c r="A368" s="11"/>
      <c r="B368" s="11"/>
      <c r="C368" s="11"/>
      <c r="D368" s="11"/>
      <c r="E368" s="11"/>
      <c r="F368" s="11"/>
      <c r="G368" s="1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2">
      <c r="A369" s="11"/>
      <c r="B369" s="11"/>
      <c r="C369" s="11"/>
      <c r="D369" s="11"/>
      <c r="E369" s="11"/>
      <c r="F369" s="11"/>
      <c r="G369" s="1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2">
      <c r="A370" s="11"/>
      <c r="B370" s="11"/>
      <c r="C370" s="11"/>
      <c r="D370" s="11"/>
      <c r="E370" s="11"/>
      <c r="F370" s="11"/>
      <c r="G370" s="1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2">
      <c r="A371" s="11"/>
      <c r="B371" s="11"/>
      <c r="C371" s="11"/>
      <c r="D371" s="11"/>
      <c r="E371" s="11"/>
      <c r="F371" s="11"/>
      <c r="G371" s="1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2">
      <c r="A372" s="11"/>
      <c r="B372" s="11"/>
      <c r="C372" s="11"/>
      <c r="D372" s="11"/>
      <c r="E372" s="11"/>
      <c r="F372" s="11"/>
      <c r="G372" s="1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2">
      <c r="A373" s="11"/>
      <c r="B373" s="11"/>
      <c r="C373" s="11"/>
      <c r="D373" s="11"/>
      <c r="E373" s="11"/>
      <c r="F373" s="11"/>
      <c r="G373" s="1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2">
      <c r="A374" s="11"/>
      <c r="B374" s="11"/>
      <c r="C374" s="11"/>
      <c r="D374" s="11"/>
      <c r="E374" s="11"/>
      <c r="F374" s="11"/>
      <c r="G374" s="1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2">
      <c r="A375" s="11"/>
      <c r="B375" s="11"/>
      <c r="C375" s="11"/>
      <c r="D375" s="11"/>
      <c r="E375" s="11"/>
      <c r="F375" s="11"/>
      <c r="G375" s="1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2">
      <c r="A376" s="11"/>
      <c r="B376" s="11"/>
      <c r="C376" s="11"/>
      <c r="D376" s="11"/>
      <c r="E376" s="11"/>
      <c r="F376" s="11"/>
      <c r="G376" s="1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2">
      <c r="A377" s="11"/>
      <c r="B377" s="11"/>
      <c r="C377" s="11"/>
      <c r="D377" s="11"/>
      <c r="E377" s="11"/>
      <c r="F377" s="11"/>
      <c r="G377" s="1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2">
      <c r="A378" s="11"/>
      <c r="B378" s="11"/>
      <c r="C378" s="11"/>
      <c r="D378" s="11"/>
      <c r="E378" s="11"/>
      <c r="F378" s="11"/>
      <c r="G378" s="1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2">
      <c r="A379" s="11"/>
      <c r="B379" s="11"/>
      <c r="C379" s="11"/>
      <c r="D379" s="11"/>
      <c r="E379" s="11"/>
      <c r="F379" s="11"/>
      <c r="G379" s="1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2">
      <c r="A380" s="11"/>
      <c r="B380" s="11"/>
      <c r="C380" s="11"/>
      <c r="D380" s="11"/>
      <c r="E380" s="11"/>
      <c r="F380" s="11"/>
      <c r="G380" s="1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2">
      <c r="A381" s="11"/>
      <c r="B381" s="11"/>
      <c r="C381" s="11"/>
      <c r="D381" s="11"/>
      <c r="E381" s="11"/>
      <c r="F381" s="11"/>
      <c r="G381" s="1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2">
      <c r="A382" s="11"/>
      <c r="B382" s="11"/>
      <c r="C382" s="11"/>
      <c r="D382" s="11"/>
      <c r="E382" s="11"/>
      <c r="F382" s="11"/>
      <c r="G382" s="1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2">
      <c r="A383" s="11"/>
      <c r="B383" s="11"/>
      <c r="C383" s="11"/>
      <c r="D383" s="11"/>
      <c r="E383" s="11"/>
      <c r="F383" s="11"/>
      <c r="G383" s="1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2">
      <c r="A384" s="11"/>
      <c r="B384" s="11"/>
      <c r="C384" s="11"/>
      <c r="D384" s="11"/>
      <c r="E384" s="11"/>
      <c r="F384" s="11"/>
      <c r="G384" s="1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2">
      <c r="A385" s="11"/>
      <c r="B385" s="11"/>
      <c r="C385" s="11"/>
      <c r="D385" s="11"/>
      <c r="E385" s="11"/>
      <c r="F385" s="11"/>
      <c r="G385" s="1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2">
      <c r="A386" s="11"/>
      <c r="B386" s="11"/>
      <c r="C386" s="11"/>
      <c r="D386" s="11"/>
      <c r="E386" s="11"/>
      <c r="F386" s="11"/>
      <c r="G386" s="1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2">
      <c r="A387" s="11"/>
      <c r="B387" s="11"/>
      <c r="C387" s="11"/>
      <c r="D387" s="11"/>
      <c r="E387" s="11"/>
      <c r="F387" s="11"/>
      <c r="G387" s="1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2">
      <c r="A388" s="11"/>
      <c r="B388" s="11"/>
      <c r="C388" s="11"/>
      <c r="D388" s="11"/>
      <c r="E388" s="11"/>
      <c r="F388" s="11"/>
      <c r="G388" s="1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2">
      <c r="A389" s="11"/>
      <c r="B389" s="11"/>
      <c r="C389" s="11"/>
      <c r="D389" s="11"/>
      <c r="E389" s="11"/>
      <c r="F389" s="11"/>
      <c r="G389" s="1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2">
      <c r="A390" s="11"/>
      <c r="B390" s="11"/>
      <c r="C390" s="11"/>
      <c r="D390" s="11"/>
      <c r="E390" s="11"/>
      <c r="F390" s="11"/>
      <c r="G390" s="1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2">
      <c r="A391" s="11"/>
      <c r="B391" s="11"/>
      <c r="C391" s="11"/>
      <c r="D391" s="11"/>
      <c r="E391" s="11"/>
      <c r="F391" s="11"/>
      <c r="G391" s="1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2">
      <c r="A392" s="11"/>
      <c r="B392" s="11"/>
      <c r="C392" s="11"/>
      <c r="D392" s="11"/>
      <c r="E392" s="11"/>
      <c r="F392" s="11"/>
      <c r="G392" s="1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2">
      <c r="A393" s="11"/>
      <c r="B393" s="11"/>
      <c r="C393" s="11"/>
      <c r="D393" s="11"/>
      <c r="E393" s="11"/>
      <c r="F393" s="11"/>
      <c r="G393" s="1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2">
      <c r="A394" s="11"/>
      <c r="B394" s="11"/>
      <c r="C394" s="11"/>
      <c r="D394" s="11"/>
      <c r="E394" s="11"/>
      <c r="F394" s="11"/>
      <c r="G394" s="1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2">
      <c r="A395" s="11"/>
      <c r="B395" s="11"/>
      <c r="C395" s="11"/>
      <c r="D395" s="11"/>
      <c r="E395" s="11"/>
      <c r="F395" s="11"/>
      <c r="G395" s="1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2">
      <c r="A396" s="11"/>
      <c r="B396" s="11"/>
      <c r="C396" s="11"/>
      <c r="D396" s="11"/>
      <c r="E396" s="11"/>
      <c r="F396" s="11"/>
      <c r="G396" s="1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2">
      <c r="A397" s="11"/>
      <c r="B397" s="11"/>
      <c r="C397" s="11"/>
      <c r="D397" s="11"/>
      <c r="E397" s="11"/>
      <c r="F397" s="11"/>
      <c r="G397" s="1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2">
      <c r="A398" s="11"/>
      <c r="B398" s="11"/>
      <c r="C398" s="11"/>
      <c r="D398" s="11"/>
      <c r="E398" s="11"/>
      <c r="F398" s="11"/>
      <c r="G398" s="1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2">
      <c r="A399" s="11"/>
      <c r="B399" s="11"/>
      <c r="C399" s="11"/>
      <c r="D399" s="11"/>
      <c r="E399" s="11"/>
      <c r="F399" s="11"/>
      <c r="G399" s="1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2">
      <c r="A400" s="11"/>
      <c r="B400" s="11"/>
      <c r="C400" s="11"/>
      <c r="D400" s="11"/>
      <c r="E400" s="11"/>
      <c r="F400" s="11"/>
      <c r="G400" s="1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2">
      <c r="A401" s="11"/>
      <c r="B401" s="11"/>
      <c r="C401" s="11"/>
      <c r="D401" s="11"/>
      <c r="E401" s="11"/>
      <c r="F401" s="11"/>
      <c r="G401" s="1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2">
      <c r="A402" s="11"/>
      <c r="B402" s="11"/>
      <c r="C402" s="11"/>
      <c r="D402" s="11"/>
      <c r="E402" s="11"/>
      <c r="F402" s="11"/>
      <c r="G402" s="1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2">
      <c r="A403" s="11"/>
      <c r="B403" s="11"/>
      <c r="C403" s="11"/>
      <c r="D403" s="11"/>
      <c r="E403" s="11"/>
      <c r="F403" s="11"/>
      <c r="G403" s="1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2">
      <c r="A404" s="11"/>
      <c r="B404" s="11"/>
      <c r="C404" s="11"/>
      <c r="D404" s="11"/>
      <c r="E404" s="11"/>
      <c r="F404" s="11"/>
      <c r="G404" s="1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2">
      <c r="A405" s="11"/>
      <c r="B405" s="11"/>
      <c r="C405" s="11"/>
      <c r="D405" s="11"/>
      <c r="E405" s="11"/>
      <c r="F405" s="11"/>
      <c r="G405" s="1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2">
      <c r="A406" s="11"/>
      <c r="B406" s="11"/>
      <c r="C406" s="11"/>
      <c r="D406" s="11"/>
      <c r="E406" s="11"/>
      <c r="F406" s="11"/>
      <c r="G406" s="1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2">
      <c r="A407" s="11"/>
      <c r="B407" s="11"/>
      <c r="C407" s="11"/>
      <c r="D407" s="11"/>
      <c r="E407" s="11"/>
      <c r="F407" s="11"/>
      <c r="G407" s="1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2">
      <c r="A408" s="11"/>
      <c r="B408" s="11"/>
      <c r="C408" s="11"/>
      <c r="D408" s="11"/>
      <c r="E408" s="11"/>
      <c r="F408" s="11"/>
      <c r="G408" s="1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2">
      <c r="A409" s="11"/>
      <c r="B409" s="11"/>
      <c r="C409" s="11"/>
      <c r="D409" s="11"/>
      <c r="E409" s="11"/>
      <c r="F409" s="11"/>
      <c r="G409" s="1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2">
      <c r="A410" s="11"/>
      <c r="B410" s="11"/>
      <c r="C410" s="11"/>
      <c r="D410" s="11"/>
      <c r="E410" s="11"/>
      <c r="F410" s="11"/>
      <c r="G410" s="1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2">
      <c r="A411" s="11"/>
      <c r="B411" s="11"/>
      <c r="C411" s="11"/>
      <c r="D411" s="11"/>
      <c r="E411" s="11"/>
      <c r="F411" s="11"/>
      <c r="G411" s="1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2">
      <c r="A412" s="11"/>
      <c r="B412" s="11"/>
      <c r="C412" s="11"/>
      <c r="D412" s="11"/>
      <c r="E412" s="11"/>
      <c r="F412" s="11"/>
      <c r="G412" s="1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2">
      <c r="A413" s="11"/>
      <c r="B413" s="11"/>
      <c r="C413" s="11"/>
      <c r="D413" s="11"/>
      <c r="E413" s="11"/>
      <c r="F413" s="11"/>
      <c r="G413" s="1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2">
      <c r="A414" s="11"/>
      <c r="B414" s="11"/>
      <c r="C414" s="11"/>
      <c r="D414" s="11"/>
      <c r="E414" s="11"/>
      <c r="F414" s="11"/>
      <c r="G414" s="1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2">
      <c r="A415" s="11"/>
      <c r="B415" s="11"/>
      <c r="C415" s="11"/>
      <c r="D415" s="11"/>
      <c r="E415" s="11"/>
      <c r="F415" s="11"/>
      <c r="G415" s="1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2">
      <c r="A416" s="11"/>
      <c r="B416" s="11"/>
      <c r="C416" s="11"/>
      <c r="D416" s="11"/>
      <c r="E416" s="11"/>
      <c r="F416" s="11"/>
      <c r="G416" s="1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2">
      <c r="A417" s="11"/>
      <c r="B417" s="11"/>
      <c r="C417" s="11"/>
      <c r="D417" s="11"/>
      <c r="E417" s="11"/>
      <c r="F417" s="11"/>
      <c r="G417" s="1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2">
      <c r="A418" s="11"/>
      <c r="B418" s="11"/>
      <c r="C418" s="11"/>
      <c r="D418" s="11"/>
      <c r="E418" s="11"/>
      <c r="F418" s="11"/>
      <c r="G418" s="1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2">
      <c r="A419" s="11"/>
      <c r="B419" s="11"/>
      <c r="C419" s="11"/>
      <c r="D419" s="11"/>
      <c r="E419" s="11"/>
      <c r="F419" s="11"/>
      <c r="G419" s="1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2">
      <c r="A420" s="11"/>
      <c r="B420" s="11"/>
      <c r="C420" s="11"/>
      <c r="D420" s="11"/>
      <c r="E420" s="11"/>
      <c r="F420" s="11"/>
      <c r="G420" s="1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2">
      <c r="A421" s="11"/>
      <c r="B421" s="11"/>
      <c r="C421" s="11"/>
      <c r="D421" s="11"/>
      <c r="E421" s="11"/>
      <c r="F421" s="11"/>
      <c r="G421" s="1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2">
      <c r="A422" s="11"/>
      <c r="B422" s="11"/>
      <c r="C422" s="11"/>
      <c r="D422" s="11"/>
      <c r="E422" s="11"/>
      <c r="F422" s="11"/>
      <c r="G422" s="1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2">
      <c r="A423" s="11"/>
      <c r="B423" s="11"/>
      <c r="C423" s="11"/>
      <c r="D423" s="11"/>
      <c r="E423" s="11"/>
      <c r="F423" s="11"/>
      <c r="G423" s="1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2">
      <c r="A424" s="11"/>
      <c r="B424" s="11"/>
      <c r="C424" s="11"/>
      <c r="D424" s="11"/>
      <c r="E424" s="11"/>
      <c r="F424" s="11"/>
      <c r="G424" s="1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2">
      <c r="A425" s="11"/>
      <c r="B425" s="11"/>
      <c r="C425" s="11"/>
      <c r="D425" s="11"/>
      <c r="E425" s="11"/>
      <c r="F425" s="11"/>
      <c r="G425" s="1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2">
      <c r="A426" s="11"/>
      <c r="B426" s="11"/>
      <c r="C426" s="11"/>
      <c r="D426" s="11"/>
      <c r="E426" s="11"/>
      <c r="F426" s="11"/>
      <c r="G426" s="1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2">
      <c r="A427" s="11"/>
      <c r="B427" s="11"/>
      <c r="C427" s="11"/>
      <c r="D427" s="11"/>
      <c r="E427" s="11"/>
      <c r="F427" s="11"/>
      <c r="G427" s="1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2">
      <c r="A428" s="11"/>
      <c r="B428" s="11"/>
      <c r="C428" s="11"/>
      <c r="D428" s="11"/>
      <c r="E428" s="11"/>
      <c r="F428" s="11"/>
      <c r="G428" s="1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2">
      <c r="A429" s="11"/>
      <c r="B429" s="11"/>
      <c r="C429" s="11"/>
      <c r="D429" s="11"/>
      <c r="E429" s="11"/>
      <c r="F429" s="11"/>
      <c r="G429" s="1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2">
      <c r="A430" s="11"/>
      <c r="B430" s="11"/>
      <c r="C430" s="11"/>
      <c r="D430" s="11"/>
      <c r="E430" s="11"/>
      <c r="F430" s="11"/>
      <c r="G430" s="1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2">
      <c r="A431" s="11"/>
      <c r="B431" s="11"/>
      <c r="C431" s="11"/>
      <c r="D431" s="11"/>
      <c r="E431" s="11"/>
      <c r="F431" s="11"/>
      <c r="G431" s="1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2">
      <c r="A432" s="11"/>
      <c r="B432" s="11"/>
      <c r="C432" s="11"/>
      <c r="D432" s="11"/>
      <c r="E432" s="11"/>
      <c r="F432" s="11"/>
      <c r="G432" s="1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2">
      <c r="A433" s="11"/>
      <c r="B433" s="11"/>
      <c r="C433" s="11"/>
      <c r="D433" s="11"/>
      <c r="E433" s="11"/>
      <c r="F433" s="11"/>
      <c r="G433" s="1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2">
      <c r="A434" s="11"/>
      <c r="B434" s="11"/>
      <c r="C434" s="11"/>
      <c r="D434" s="11"/>
      <c r="E434" s="11"/>
      <c r="F434" s="11"/>
      <c r="G434" s="1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2">
      <c r="A435" s="11"/>
      <c r="B435" s="11"/>
      <c r="C435" s="11"/>
      <c r="D435" s="11"/>
      <c r="E435" s="11"/>
      <c r="F435" s="11"/>
      <c r="G435" s="1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2">
      <c r="A436" s="11"/>
      <c r="B436" s="11"/>
      <c r="C436" s="11"/>
      <c r="D436" s="11"/>
      <c r="E436" s="11"/>
      <c r="F436" s="11"/>
      <c r="G436" s="1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2">
      <c r="A437" s="11"/>
      <c r="B437" s="11"/>
      <c r="C437" s="11"/>
      <c r="D437" s="11"/>
      <c r="E437" s="11"/>
      <c r="F437" s="11"/>
      <c r="G437" s="1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2">
      <c r="A438" s="11"/>
      <c r="B438" s="11"/>
      <c r="C438" s="11"/>
      <c r="D438" s="11"/>
      <c r="E438" s="11"/>
      <c r="F438" s="11"/>
      <c r="G438" s="1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2">
      <c r="A439" s="11"/>
      <c r="B439" s="11"/>
      <c r="C439" s="11"/>
      <c r="D439" s="11"/>
      <c r="E439" s="11"/>
      <c r="F439" s="11"/>
      <c r="G439" s="1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2">
      <c r="A440" s="11"/>
      <c r="B440" s="11"/>
      <c r="C440" s="11"/>
      <c r="D440" s="11"/>
      <c r="E440" s="11"/>
      <c r="F440" s="11"/>
      <c r="G440" s="1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2">
      <c r="A441" s="11"/>
      <c r="B441" s="11"/>
      <c r="C441" s="11"/>
      <c r="D441" s="11"/>
      <c r="E441" s="11"/>
      <c r="F441" s="11"/>
      <c r="G441" s="1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2">
      <c r="A442" s="11"/>
      <c r="B442" s="11"/>
      <c r="C442" s="11"/>
      <c r="D442" s="11"/>
      <c r="E442" s="11"/>
      <c r="F442" s="11"/>
      <c r="G442" s="1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2">
      <c r="A443" s="11"/>
      <c r="B443" s="11"/>
      <c r="C443" s="11"/>
      <c r="D443" s="11"/>
      <c r="E443" s="11"/>
      <c r="F443" s="11"/>
      <c r="G443" s="1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2">
      <c r="A444" s="11"/>
      <c r="B444" s="11"/>
      <c r="C444" s="11"/>
      <c r="D444" s="11"/>
      <c r="E444" s="11"/>
      <c r="F444" s="11"/>
      <c r="G444" s="1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2">
      <c r="A445" s="11"/>
      <c r="B445" s="11"/>
      <c r="C445" s="11"/>
      <c r="D445" s="11"/>
      <c r="E445" s="11"/>
      <c r="F445" s="11"/>
      <c r="G445" s="1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2">
      <c r="A446" s="11"/>
      <c r="B446" s="11"/>
      <c r="C446" s="11"/>
      <c r="D446" s="11"/>
      <c r="E446" s="11"/>
      <c r="F446" s="11"/>
      <c r="G446" s="1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2">
      <c r="A447" s="11"/>
      <c r="B447" s="11"/>
      <c r="C447" s="11"/>
      <c r="D447" s="11"/>
      <c r="E447" s="11"/>
      <c r="F447" s="11"/>
      <c r="G447" s="1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2">
      <c r="A448" s="11"/>
      <c r="B448" s="11"/>
      <c r="C448" s="11"/>
      <c r="D448" s="11"/>
      <c r="E448" s="11"/>
      <c r="F448" s="11"/>
      <c r="G448" s="1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2">
      <c r="A449" s="11"/>
      <c r="B449" s="11"/>
      <c r="C449" s="11"/>
      <c r="D449" s="11"/>
      <c r="E449" s="11"/>
      <c r="F449" s="11"/>
      <c r="G449" s="1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2">
      <c r="A450" s="11"/>
      <c r="B450" s="11"/>
      <c r="C450" s="11"/>
      <c r="D450" s="11"/>
      <c r="E450" s="11"/>
      <c r="F450" s="11"/>
      <c r="G450" s="1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2">
      <c r="A451" s="11"/>
      <c r="B451" s="11"/>
      <c r="C451" s="11"/>
      <c r="D451" s="11"/>
      <c r="E451" s="11"/>
      <c r="F451" s="11"/>
      <c r="G451" s="1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2">
      <c r="A452" s="11"/>
      <c r="B452" s="11"/>
      <c r="C452" s="11"/>
      <c r="D452" s="11"/>
      <c r="E452" s="11"/>
      <c r="F452" s="11"/>
      <c r="G452" s="1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2">
      <c r="A453" s="11"/>
      <c r="B453" s="11"/>
      <c r="C453" s="11"/>
      <c r="D453" s="11"/>
      <c r="E453" s="11"/>
      <c r="F453" s="11"/>
      <c r="G453" s="1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2">
      <c r="A454" s="11"/>
      <c r="B454" s="11"/>
      <c r="C454" s="11"/>
      <c r="D454" s="11"/>
      <c r="E454" s="11"/>
      <c r="F454" s="11"/>
      <c r="G454" s="1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2">
      <c r="A455" s="11"/>
      <c r="B455" s="11"/>
      <c r="C455" s="11"/>
      <c r="D455" s="11"/>
      <c r="E455" s="11"/>
      <c r="F455" s="11"/>
      <c r="G455" s="1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2">
      <c r="A456" s="11"/>
      <c r="B456" s="11"/>
      <c r="C456" s="11"/>
      <c r="D456" s="11"/>
      <c r="E456" s="11"/>
      <c r="F456" s="11"/>
      <c r="G456" s="1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2">
      <c r="A457" s="11"/>
      <c r="B457" s="11"/>
      <c r="C457" s="11"/>
      <c r="D457" s="11"/>
      <c r="E457" s="11"/>
      <c r="F457" s="11"/>
      <c r="G457" s="1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2">
      <c r="A458" s="11"/>
      <c r="B458" s="11"/>
      <c r="C458" s="11"/>
      <c r="D458" s="11"/>
      <c r="E458" s="11"/>
      <c r="F458" s="11"/>
      <c r="G458" s="1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2">
      <c r="A459" s="11"/>
      <c r="B459" s="11"/>
      <c r="C459" s="11"/>
      <c r="D459" s="11"/>
      <c r="E459" s="11"/>
      <c r="F459" s="11"/>
      <c r="G459" s="1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2">
      <c r="A460" s="11"/>
      <c r="B460" s="11"/>
      <c r="C460" s="11"/>
      <c r="D460" s="11"/>
      <c r="E460" s="11"/>
      <c r="F460" s="11"/>
      <c r="G460" s="1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2">
      <c r="A461" s="11"/>
      <c r="B461" s="11"/>
      <c r="C461" s="11"/>
      <c r="D461" s="11"/>
      <c r="E461" s="11"/>
      <c r="F461" s="11"/>
      <c r="G461" s="1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2">
      <c r="A462" s="11"/>
      <c r="B462" s="11"/>
      <c r="C462" s="11"/>
      <c r="D462" s="11"/>
      <c r="E462" s="11"/>
      <c r="F462" s="11"/>
      <c r="G462" s="1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2">
      <c r="A463" s="11"/>
      <c r="B463" s="11"/>
      <c r="C463" s="11"/>
      <c r="D463" s="11"/>
      <c r="E463" s="11"/>
      <c r="F463" s="11"/>
      <c r="G463" s="1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2">
      <c r="A464" s="11"/>
      <c r="B464" s="11"/>
      <c r="C464" s="11"/>
      <c r="D464" s="11"/>
      <c r="E464" s="11"/>
      <c r="F464" s="11"/>
      <c r="G464" s="1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2">
      <c r="A465" s="11"/>
      <c r="B465" s="11"/>
      <c r="C465" s="11"/>
      <c r="D465" s="11"/>
      <c r="E465" s="11"/>
      <c r="F465" s="11"/>
      <c r="G465" s="1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2">
      <c r="A466" s="11"/>
      <c r="B466" s="11"/>
      <c r="C466" s="11"/>
      <c r="D466" s="11"/>
      <c r="E466" s="11"/>
      <c r="F466" s="11"/>
      <c r="G466" s="1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2">
      <c r="A467" s="11"/>
      <c r="B467" s="11"/>
      <c r="C467" s="11"/>
      <c r="D467" s="11"/>
      <c r="E467" s="11"/>
      <c r="F467" s="11"/>
      <c r="G467" s="1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2">
      <c r="A468" s="11"/>
      <c r="B468" s="11"/>
      <c r="C468" s="11"/>
      <c r="D468" s="11"/>
      <c r="E468" s="11"/>
      <c r="F468" s="11"/>
      <c r="G468" s="1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2">
      <c r="A469" s="11"/>
      <c r="B469" s="11"/>
      <c r="C469" s="11"/>
      <c r="D469" s="11"/>
      <c r="E469" s="11"/>
      <c r="F469" s="11"/>
      <c r="G469" s="1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2">
      <c r="A470" s="11"/>
      <c r="B470" s="11"/>
      <c r="C470" s="11"/>
      <c r="D470" s="11"/>
      <c r="E470" s="11"/>
      <c r="F470" s="11"/>
      <c r="G470" s="1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2">
      <c r="A471" s="11"/>
      <c r="B471" s="11"/>
      <c r="C471" s="11"/>
      <c r="D471" s="11"/>
      <c r="E471" s="11"/>
      <c r="F471" s="11"/>
      <c r="G471" s="1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2">
      <c r="A472" s="11"/>
      <c r="B472" s="11"/>
      <c r="C472" s="11"/>
      <c r="D472" s="11"/>
      <c r="E472" s="11"/>
      <c r="F472" s="11"/>
      <c r="G472" s="1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2">
      <c r="A473" s="11"/>
      <c r="B473" s="11"/>
      <c r="C473" s="11"/>
      <c r="D473" s="11"/>
      <c r="E473" s="11"/>
      <c r="F473" s="11"/>
      <c r="G473" s="1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2">
      <c r="A474" s="11"/>
      <c r="B474" s="11"/>
      <c r="C474" s="11"/>
      <c r="D474" s="11"/>
      <c r="E474" s="11"/>
      <c r="F474" s="11"/>
      <c r="G474" s="1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2">
      <c r="A475" s="11"/>
      <c r="B475" s="11"/>
      <c r="C475" s="11"/>
      <c r="D475" s="11"/>
      <c r="E475" s="11"/>
      <c r="F475" s="11"/>
      <c r="G475" s="1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2">
      <c r="A476" s="11"/>
      <c r="B476" s="11"/>
      <c r="C476" s="11"/>
      <c r="D476" s="11"/>
      <c r="E476" s="11"/>
      <c r="F476" s="11"/>
      <c r="G476" s="1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2">
      <c r="A477" s="11"/>
      <c r="B477" s="11"/>
      <c r="C477" s="11"/>
      <c r="D477" s="11"/>
      <c r="E477" s="11"/>
      <c r="F477" s="11"/>
      <c r="G477" s="1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2">
      <c r="A478" s="11"/>
      <c r="B478" s="11"/>
      <c r="C478" s="11"/>
      <c r="D478" s="11"/>
      <c r="E478" s="11"/>
      <c r="F478" s="11"/>
      <c r="G478" s="1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2">
      <c r="A479" s="11"/>
      <c r="B479" s="11"/>
      <c r="C479" s="11"/>
      <c r="D479" s="11"/>
      <c r="E479" s="11"/>
      <c r="F479" s="11"/>
      <c r="G479" s="1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2">
      <c r="A480" s="11"/>
      <c r="B480" s="11"/>
      <c r="C480" s="11"/>
      <c r="D480" s="11"/>
      <c r="E480" s="11"/>
      <c r="F480" s="11"/>
      <c r="G480" s="1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2">
      <c r="A481" s="11"/>
      <c r="B481" s="11"/>
      <c r="C481" s="11"/>
      <c r="D481" s="11"/>
      <c r="E481" s="11"/>
      <c r="F481" s="11"/>
      <c r="G481" s="1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2">
      <c r="A482" s="11"/>
      <c r="B482" s="11"/>
      <c r="C482" s="11"/>
      <c r="D482" s="11"/>
      <c r="E482" s="11"/>
      <c r="F482" s="11"/>
      <c r="G482" s="1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2">
      <c r="A483" s="11"/>
      <c r="B483" s="11"/>
      <c r="C483" s="11"/>
      <c r="D483" s="11"/>
      <c r="E483" s="11"/>
      <c r="F483" s="11"/>
      <c r="G483" s="1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2">
      <c r="A484" s="11"/>
      <c r="B484" s="11"/>
      <c r="C484" s="11"/>
      <c r="D484" s="11"/>
      <c r="E484" s="11"/>
      <c r="F484" s="11"/>
      <c r="G484" s="1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2">
      <c r="A485" s="11"/>
      <c r="B485" s="11"/>
      <c r="C485" s="11"/>
      <c r="D485" s="11"/>
      <c r="E485" s="11"/>
      <c r="F485" s="11"/>
      <c r="G485" s="1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2">
      <c r="A486" s="11"/>
      <c r="B486" s="11"/>
      <c r="C486" s="11"/>
      <c r="D486" s="11"/>
      <c r="E486" s="11"/>
      <c r="F486" s="11"/>
      <c r="G486" s="1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2">
      <c r="A487" s="11"/>
      <c r="B487" s="11"/>
      <c r="C487" s="11"/>
      <c r="D487" s="11"/>
      <c r="E487" s="11"/>
      <c r="F487" s="11"/>
      <c r="G487" s="1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2">
      <c r="A488" s="11"/>
      <c r="B488" s="11"/>
      <c r="C488" s="11"/>
      <c r="D488" s="11"/>
      <c r="E488" s="11"/>
      <c r="F488" s="11"/>
      <c r="G488" s="12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2">
      <c r="A489" s="11"/>
      <c r="B489" s="11"/>
      <c r="C489" s="11"/>
      <c r="D489" s="11"/>
      <c r="E489" s="11"/>
      <c r="F489" s="11"/>
      <c r="G489" s="12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2">
      <c r="A490" s="11"/>
      <c r="B490" s="11"/>
      <c r="C490" s="11"/>
      <c r="D490" s="11"/>
      <c r="E490" s="11"/>
      <c r="F490" s="11"/>
      <c r="G490" s="12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2">
      <c r="A491" s="11"/>
      <c r="B491" s="11"/>
      <c r="C491" s="11"/>
      <c r="D491" s="11"/>
      <c r="E491" s="11"/>
      <c r="F491" s="11"/>
      <c r="G491" s="12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2">
      <c r="A492" s="11"/>
      <c r="B492" s="11"/>
      <c r="C492" s="11"/>
      <c r="D492" s="11"/>
      <c r="E492" s="11"/>
      <c r="F492" s="11"/>
      <c r="G492" s="12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2">
      <c r="A493" s="11"/>
      <c r="B493" s="11"/>
      <c r="C493" s="11"/>
      <c r="D493" s="11"/>
      <c r="E493" s="11"/>
      <c r="F493" s="11"/>
      <c r="G493" s="12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2">
      <c r="A494" s="11"/>
      <c r="B494" s="11"/>
      <c r="C494" s="11"/>
      <c r="D494" s="11"/>
      <c r="E494" s="11"/>
      <c r="F494" s="11"/>
      <c r="G494" s="12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2">
      <c r="A495" s="11"/>
      <c r="B495" s="11"/>
      <c r="C495" s="11"/>
      <c r="D495" s="11"/>
      <c r="E495" s="11"/>
      <c r="F495" s="11"/>
      <c r="G495" s="12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2">
      <c r="A496" s="11"/>
      <c r="B496" s="11"/>
      <c r="C496" s="11"/>
      <c r="D496" s="11"/>
      <c r="E496" s="11"/>
      <c r="F496" s="11"/>
      <c r="G496" s="12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2">
      <c r="A497" s="11"/>
      <c r="B497" s="11"/>
      <c r="C497" s="11"/>
      <c r="D497" s="11"/>
      <c r="E497" s="11"/>
      <c r="F497" s="11"/>
      <c r="G497" s="12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2">
      <c r="A498" s="11"/>
      <c r="B498" s="11"/>
      <c r="C498" s="11"/>
      <c r="D498" s="11"/>
      <c r="E498" s="11"/>
      <c r="F498" s="11"/>
      <c r="G498" s="12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2">
      <c r="A499" s="11"/>
      <c r="B499" s="11"/>
      <c r="C499" s="11"/>
      <c r="D499" s="11"/>
      <c r="E499" s="11"/>
      <c r="F499" s="11"/>
      <c r="G499" s="12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2">
      <c r="A500" s="11"/>
      <c r="B500" s="11"/>
      <c r="C500" s="11"/>
      <c r="D500" s="11"/>
      <c r="E500" s="11"/>
      <c r="F500" s="11"/>
      <c r="G500" s="12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2">
      <c r="A501" s="11"/>
      <c r="B501" s="11"/>
      <c r="C501" s="11"/>
      <c r="D501" s="11"/>
      <c r="E501" s="11"/>
      <c r="F501" s="11"/>
      <c r="G501" s="12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2">
      <c r="A502" s="11"/>
      <c r="B502" s="11"/>
      <c r="C502" s="11"/>
      <c r="D502" s="11"/>
      <c r="E502" s="11"/>
      <c r="F502" s="11"/>
      <c r="G502" s="12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2">
      <c r="A503" s="11"/>
      <c r="B503" s="11"/>
      <c r="C503" s="11"/>
      <c r="D503" s="11"/>
      <c r="E503" s="11"/>
      <c r="F503" s="11"/>
      <c r="G503" s="12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2">
      <c r="A504" s="11"/>
      <c r="B504" s="11"/>
      <c r="C504" s="11"/>
      <c r="D504" s="11"/>
      <c r="E504" s="11"/>
      <c r="F504" s="11"/>
      <c r="G504" s="12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2">
      <c r="A505" s="11"/>
      <c r="B505" s="11"/>
      <c r="C505" s="11"/>
      <c r="D505" s="11"/>
      <c r="E505" s="11"/>
      <c r="F505" s="11"/>
      <c r="G505" s="12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2">
      <c r="A506" s="11"/>
      <c r="B506" s="11"/>
      <c r="C506" s="11"/>
      <c r="D506" s="11"/>
      <c r="E506" s="11"/>
      <c r="F506" s="11"/>
      <c r="G506" s="12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2">
      <c r="A507" s="11"/>
      <c r="B507" s="11"/>
      <c r="C507" s="11"/>
      <c r="D507" s="11"/>
      <c r="E507" s="11"/>
      <c r="F507" s="11"/>
      <c r="G507" s="12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2">
      <c r="A508" s="11"/>
      <c r="B508" s="11"/>
      <c r="C508" s="11"/>
      <c r="D508" s="11"/>
      <c r="E508" s="11"/>
      <c r="F508" s="11"/>
      <c r="G508" s="12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2">
      <c r="A509" s="11"/>
      <c r="B509" s="11"/>
      <c r="C509" s="11"/>
      <c r="D509" s="11"/>
      <c r="E509" s="11"/>
      <c r="F509" s="11"/>
      <c r="G509" s="12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2">
      <c r="A510" s="11"/>
      <c r="B510" s="11"/>
      <c r="C510" s="11"/>
      <c r="D510" s="11"/>
      <c r="E510" s="11"/>
      <c r="F510" s="11"/>
      <c r="G510" s="12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2">
      <c r="A511" s="11"/>
      <c r="B511" s="11"/>
      <c r="C511" s="11"/>
      <c r="D511" s="11"/>
      <c r="E511" s="11"/>
      <c r="F511" s="11"/>
      <c r="G511" s="12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2">
      <c r="A512" s="11"/>
      <c r="B512" s="11"/>
      <c r="C512" s="11"/>
      <c r="D512" s="11"/>
      <c r="E512" s="11"/>
      <c r="F512" s="11"/>
      <c r="G512" s="12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2">
      <c r="A513" s="11"/>
      <c r="B513" s="11"/>
      <c r="C513" s="11"/>
      <c r="D513" s="11"/>
      <c r="E513" s="11"/>
      <c r="F513" s="11"/>
      <c r="G513" s="12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2">
      <c r="A514" s="11"/>
      <c r="B514" s="11"/>
      <c r="C514" s="11"/>
      <c r="D514" s="11"/>
      <c r="E514" s="11"/>
      <c r="F514" s="11"/>
      <c r="G514" s="12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2">
      <c r="A515" s="11"/>
      <c r="B515" s="11"/>
      <c r="C515" s="11"/>
      <c r="D515" s="11"/>
      <c r="E515" s="11"/>
      <c r="F515" s="11"/>
      <c r="G515" s="12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2">
      <c r="A516" s="11"/>
      <c r="B516" s="11"/>
      <c r="C516" s="11"/>
      <c r="D516" s="11"/>
      <c r="E516" s="11"/>
      <c r="F516" s="11"/>
      <c r="G516" s="12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2">
      <c r="A517" s="11"/>
      <c r="B517" s="11"/>
      <c r="C517" s="11"/>
      <c r="D517" s="11"/>
      <c r="E517" s="11"/>
      <c r="F517" s="11"/>
      <c r="G517" s="12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2">
      <c r="A518" s="11"/>
      <c r="B518" s="11"/>
      <c r="C518" s="11"/>
      <c r="D518" s="11"/>
      <c r="E518" s="11"/>
      <c r="F518" s="11"/>
      <c r="G518" s="12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2">
      <c r="A519" s="11"/>
      <c r="B519" s="11"/>
      <c r="C519" s="11"/>
      <c r="D519" s="11"/>
      <c r="E519" s="11"/>
      <c r="F519" s="11"/>
      <c r="G519" s="12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2">
      <c r="A520" s="11"/>
      <c r="B520" s="11"/>
      <c r="C520" s="11"/>
      <c r="D520" s="11"/>
      <c r="E520" s="11"/>
      <c r="F520" s="11"/>
      <c r="G520" s="12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2">
      <c r="A521" s="11"/>
      <c r="B521" s="11"/>
      <c r="C521" s="11"/>
      <c r="D521" s="11"/>
      <c r="E521" s="11"/>
      <c r="F521" s="11"/>
      <c r="G521" s="12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2">
      <c r="A522" s="11"/>
      <c r="B522" s="11"/>
      <c r="C522" s="11"/>
      <c r="D522" s="11"/>
      <c r="E522" s="11"/>
      <c r="F522" s="11"/>
      <c r="G522" s="12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2">
      <c r="A523" s="11"/>
      <c r="B523" s="11"/>
      <c r="C523" s="11"/>
      <c r="D523" s="11"/>
      <c r="E523" s="11"/>
      <c r="F523" s="11"/>
      <c r="G523" s="12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2">
      <c r="A524" s="11"/>
      <c r="B524" s="11"/>
      <c r="C524" s="11"/>
      <c r="D524" s="11"/>
      <c r="E524" s="11"/>
      <c r="F524" s="11"/>
      <c r="G524" s="12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2">
      <c r="A525" s="11"/>
      <c r="B525" s="11"/>
      <c r="C525" s="11"/>
      <c r="D525" s="11"/>
      <c r="E525" s="11"/>
      <c r="F525" s="11"/>
      <c r="G525" s="12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2">
      <c r="A526" s="11"/>
      <c r="B526" s="11"/>
      <c r="C526" s="11"/>
      <c r="D526" s="11"/>
      <c r="E526" s="11"/>
      <c r="F526" s="11"/>
      <c r="G526" s="12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2">
      <c r="A527" s="11"/>
      <c r="B527" s="11"/>
      <c r="C527" s="11"/>
      <c r="D527" s="11"/>
      <c r="E527" s="11"/>
      <c r="F527" s="11"/>
      <c r="G527" s="12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2">
      <c r="A528" s="11"/>
      <c r="B528" s="11"/>
      <c r="C528" s="11"/>
      <c r="D528" s="11"/>
      <c r="E528" s="11"/>
      <c r="F528" s="11"/>
      <c r="G528" s="12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2">
      <c r="A529" s="11"/>
      <c r="B529" s="11"/>
      <c r="C529" s="11"/>
      <c r="D529" s="11"/>
      <c r="E529" s="11"/>
      <c r="F529" s="11"/>
      <c r="G529" s="12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2">
      <c r="A530" s="11"/>
      <c r="B530" s="11"/>
      <c r="C530" s="11"/>
      <c r="D530" s="11"/>
      <c r="E530" s="11"/>
      <c r="F530" s="11"/>
      <c r="G530" s="12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2">
      <c r="A531" s="11"/>
      <c r="B531" s="11"/>
      <c r="C531" s="11"/>
      <c r="D531" s="11"/>
      <c r="E531" s="11"/>
      <c r="F531" s="11"/>
      <c r="G531" s="12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2">
      <c r="A532" s="11"/>
      <c r="B532" s="11"/>
      <c r="C532" s="11"/>
      <c r="D532" s="11"/>
      <c r="E532" s="11"/>
      <c r="F532" s="11"/>
      <c r="G532" s="12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2">
      <c r="A533" s="11"/>
      <c r="B533" s="11"/>
      <c r="C533" s="11"/>
      <c r="D533" s="11"/>
      <c r="E533" s="11"/>
      <c r="F533" s="11"/>
      <c r="G533" s="12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2">
      <c r="A534" s="11"/>
      <c r="B534" s="11"/>
      <c r="C534" s="11"/>
      <c r="D534" s="11"/>
      <c r="E534" s="11"/>
      <c r="F534" s="11"/>
      <c r="G534" s="12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2">
      <c r="A535" s="11"/>
      <c r="B535" s="11"/>
      <c r="C535" s="11"/>
      <c r="D535" s="11"/>
      <c r="E535" s="11"/>
      <c r="F535" s="11"/>
      <c r="G535" s="12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2">
      <c r="A536" s="11"/>
      <c r="B536" s="11"/>
      <c r="C536" s="11"/>
      <c r="D536" s="11"/>
      <c r="E536" s="11"/>
      <c r="F536" s="11"/>
      <c r="G536" s="12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2">
      <c r="A537" s="11"/>
      <c r="B537" s="11"/>
      <c r="C537" s="11"/>
      <c r="D537" s="11"/>
      <c r="E537" s="11"/>
      <c r="F537" s="11"/>
      <c r="G537" s="12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2">
      <c r="A538" s="11"/>
      <c r="B538" s="11"/>
      <c r="C538" s="11"/>
      <c r="D538" s="11"/>
      <c r="E538" s="11"/>
      <c r="F538" s="11"/>
      <c r="G538" s="12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2">
      <c r="A539" s="11"/>
      <c r="B539" s="11"/>
      <c r="C539" s="11"/>
      <c r="D539" s="11"/>
      <c r="E539" s="11"/>
      <c r="F539" s="11"/>
      <c r="G539" s="12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2">
      <c r="A540" s="11"/>
      <c r="B540" s="11"/>
      <c r="C540" s="11"/>
      <c r="D540" s="11"/>
      <c r="E540" s="11"/>
      <c r="F540" s="11"/>
      <c r="G540" s="12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2">
      <c r="A541" s="11"/>
      <c r="B541" s="11"/>
      <c r="C541" s="11"/>
      <c r="D541" s="11"/>
      <c r="E541" s="11"/>
      <c r="F541" s="11"/>
      <c r="G541" s="12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2">
      <c r="A542" s="11"/>
      <c r="B542" s="11"/>
      <c r="C542" s="11"/>
      <c r="D542" s="11"/>
      <c r="E542" s="11"/>
      <c r="F542" s="11"/>
      <c r="G542" s="12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2">
      <c r="A543" s="11"/>
      <c r="B543" s="11"/>
      <c r="C543" s="11"/>
      <c r="D543" s="11"/>
      <c r="E543" s="11"/>
      <c r="F543" s="11"/>
      <c r="G543" s="12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2">
      <c r="A544" s="11"/>
      <c r="B544" s="11"/>
      <c r="C544" s="11"/>
      <c r="D544" s="11"/>
      <c r="E544" s="11"/>
      <c r="F544" s="11"/>
      <c r="G544" s="12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2">
      <c r="A545" s="11"/>
      <c r="B545" s="11"/>
      <c r="C545" s="11"/>
      <c r="D545" s="11"/>
      <c r="E545" s="11"/>
      <c r="F545" s="11"/>
      <c r="G545" s="12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2">
      <c r="A546" s="11"/>
      <c r="B546" s="11"/>
      <c r="C546" s="11"/>
      <c r="D546" s="11"/>
      <c r="E546" s="11"/>
      <c r="F546" s="11"/>
      <c r="G546" s="12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2">
      <c r="A547" s="11"/>
      <c r="B547" s="11"/>
      <c r="C547" s="11"/>
      <c r="D547" s="11"/>
      <c r="E547" s="11"/>
      <c r="F547" s="11"/>
      <c r="G547" s="12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2">
      <c r="A548" s="11"/>
      <c r="B548" s="11"/>
      <c r="C548" s="11"/>
      <c r="D548" s="11"/>
      <c r="E548" s="11"/>
      <c r="F548" s="11"/>
      <c r="G548" s="12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2">
      <c r="A549" s="11"/>
      <c r="B549" s="11"/>
      <c r="C549" s="11"/>
      <c r="D549" s="11"/>
      <c r="E549" s="11"/>
      <c r="F549" s="11"/>
      <c r="G549" s="12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2">
      <c r="A550" s="11"/>
      <c r="B550" s="11"/>
      <c r="C550" s="11"/>
      <c r="D550" s="11"/>
      <c r="E550" s="11"/>
      <c r="F550" s="11"/>
      <c r="G550" s="12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2">
      <c r="A551" s="11"/>
      <c r="B551" s="11"/>
      <c r="C551" s="11"/>
      <c r="D551" s="11"/>
      <c r="E551" s="11"/>
      <c r="F551" s="11"/>
      <c r="G551" s="12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2">
      <c r="A552" s="11"/>
      <c r="B552" s="11"/>
      <c r="C552" s="11"/>
      <c r="D552" s="11"/>
      <c r="E552" s="11"/>
      <c r="F552" s="11"/>
      <c r="G552" s="12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2">
      <c r="A553" s="11"/>
      <c r="B553" s="11"/>
      <c r="C553" s="11"/>
      <c r="D553" s="11"/>
      <c r="E553" s="11"/>
      <c r="F553" s="11"/>
      <c r="G553" s="12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2">
      <c r="A554" s="11"/>
      <c r="B554" s="11"/>
      <c r="C554" s="11"/>
      <c r="D554" s="11"/>
      <c r="E554" s="11"/>
      <c r="F554" s="11"/>
      <c r="G554" s="12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2">
      <c r="A555" s="11"/>
      <c r="B555" s="11"/>
      <c r="C555" s="11"/>
      <c r="D555" s="11"/>
      <c r="E555" s="11"/>
      <c r="F555" s="11"/>
      <c r="G555" s="12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2">
      <c r="A556" s="11"/>
      <c r="B556" s="11"/>
      <c r="C556" s="11"/>
      <c r="D556" s="11"/>
      <c r="E556" s="11"/>
      <c r="F556" s="11"/>
      <c r="G556" s="12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2">
      <c r="A557" s="11"/>
      <c r="B557" s="11"/>
      <c r="C557" s="11"/>
      <c r="D557" s="11"/>
      <c r="E557" s="11"/>
      <c r="F557" s="11"/>
      <c r="G557" s="12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2">
      <c r="A558" s="11"/>
      <c r="B558" s="11"/>
      <c r="C558" s="11"/>
      <c r="D558" s="11"/>
      <c r="E558" s="11"/>
      <c r="F558" s="11"/>
      <c r="G558" s="12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2">
      <c r="A559" s="11"/>
      <c r="B559" s="11"/>
      <c r="C559" s="11"/>
      <c r="D559" s="11"/>
      <c r="E559" s="11"/>
      <c r="F559" s="11"/>
      <c r="G559" s="12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2">
      <c r="A560" s="11"/>
      <c r="B560" s="11"/>
      <c r="C560" s="11"/>
      <c r="D560" s="11"/>
      <c r="E560" s="11"/>
      <c r="F560" s="11"/>
      <c r="G560" s="12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2">
      <c r="A561" s="11"/>
      <c r="B561" s="11"/>
      <c r="C561" s="11"/>
      <c r="D561" s="11"/>
      <c r="E561" s="11"/>
      <c r="F561" s="11"/>
      <c r="G561" s="12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2">
      <c r="A562" s="11"/>
      <c r="B562" s="11"/>
      <c r="C562" s="11"/>
      <c r="D562" s="11"/>
      <c r="E562" s="11"/>
      <c r="F562" s="11"/>
      <c r="G562" s="12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2">
      <c r="A563" s="11"/>
      <c r="B563" s="11"/>
      <c r="C563" s="11"/>
      <c r="D563" s="11"/>
      <c r="E563" s="11"/>
      <c r="F563" s="11"/>
      <c r="G563" s="12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2">
      <c r="A564" s="11"/>
      <c r="B564" s="11"/>
      <c r="C564" s="11"/>
      <c r="D564" s="11"/>
      <c r="E564" s="11"/>
      <c r="F564" s="11"/>
      <c r="G564" s="12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2">
      <c r="A565" s="11"/>
      <c r="B565" s="11"/>
      <c r="C565" s="11"/>
      <c r="D565" s="11"/>
      <c r="E565" s="11"/>
      <c r="F565" s="11"/>
      <c r="G565" s="12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2">
      <c r="A566" s="11"/>
      <c r="B566" s="11"/>
      <c r="C566" s="11"/>
      <c r="D566" s="11"/>
      <c r="E566" s="11"/>
      <c r="F566" s="11"/>
      <c r="G566" s="12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2">
      <c r="A567" s="11"/>
      <c r="B567" s="11"/>
      <c r="C567" s="11"/>
      <c r="D567" s="11"/>
      <c r="E567" s="11"/>
      <c r="F567" s="11"/>
      <c r="G567" s="12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2">
      <c r="A568" s="11"/>
      <c r="B568" s="11"/>
      <c r="C568" s="11"/>
      <c r="D568" s="11"/>
      <c r="E568" s="11"/>
      <c r="F568" s="11"/>
      <c r="G568" s="12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2">
      <c r="A569" s="11"/>
      <c r="B569" s="11"/>
      <c r="C569" s="11"/>
      <c r="D569" s="11"/>
      <c r="E569" s="11"/>
      <c r="F569" s="11"/>
      <c r="G569" s="12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2">
      <c r="A570" s="11"/>
      <c r="B570" s="11"/>
      <c r="C570" s="11"/>
      <c r="D570" s="11"/>
      <c r="E570" s="11"/>
      <c r="F570" s="11"/>
      <c r="G570" s="12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2">
      <c r="A571" s="11"/>
      <c r="B571" s="11"/>
      <c r="C571" s="11"/>
      <c r="D571" s="11"/>
      <c r="E571" s="11"/>
      <c r="F571" s="11"/>
      <c r="G571" s="12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2">
      <c r="A572" s="11"/>
      <c r="B572" s="11"/>
      <c r="C572" s="11"/>
      <c r="D572" s="11"/>
      <c r="E572" s="11"/>
      <c r="F572" s="11"/>
      <c r="G572" s="12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2">
      <c r="A573" s="11"/>
      <c r="B573" s="11"/>
      <c r="C573" s="11"/>
      <c r="D573" s="11"/>
      <c r="E573" s="11"/>
      <c r="F573" s="11"/>
      <c r="G573" s="12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2">
      <c r="A574" s="11"/>
      <c r="B574" s="11"/>
      <c r="C574" s="11"/>
      <c r="D574" s="11"/>
      <c r="E574" s="11"/>
      <c r="F574" s="11"/>
      <c r="G574" s="12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2">
      <c r="A575" s="11"/>
      <c r="B575" s="11"/>
      <c r="C575" s="11"/>
      <c r="D575" s="11"/>
      <c r="E575" s="11"/>
      <c r="F575" s="11"/>
      <c r="G575" s="12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2">
      <c r="A576" s="11"/>
      <c r="B576" s="11"/>
      <c r="C576" s="11"/>
      <c r="D576" s="11"/>
      <c r="E576" s="11"/>
      <c r="F576" s="11"/>
      <c r="G576" s="12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2">
      <c r="A577" s="11"/>
      <c r="B577" s="11"/>
      <c r="C577" s="11"/>
      <c r="D577" s="11"/>
      <c r="E577" s="11"/>
      <c r="F577" s="11"/>
      <c r="G577" s="12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2">
      <c r="A578" s="11"/>
      <c r="B578" s="11"/>
      <c r="C578" s="11"/>
      <c r="D578" s="11"/>
      <c r="E578" s="11"/>
      <c r="F578" s="11"/>
      <c r="G578" s="12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2">
      <c r="A579" s="11"/>
      <c r="B579" s="11"/>
      <c r="C579" s="11"/>
      <c r="D579" s="11"/>
      <c r="E579" s="11"/>
      <c r="F579" s="11"/>
      <c r="G579" s="12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2">
      <c r="A580" s="11"/>
      <c r="B580" s="11"/>
      <c r="C580" s="11"/>
      <c r="D580" s="11"/>
      <c r="E580" s="11"/>
      <c r="F580" s="11"/>
      <c r="G580" s="12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2">
      <c r="A581" s="11"/>
      <c r="B581" s="11"/>
      <c r="C581" s="11"/>
      <c r="D581" s="11"/>
      <c r="E581" s="11"/>
      <c r="F581" s="11"/>
      <c r="G581" s="12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2">
      <c r="A582" s="11"/>
      <c r="B582" s="11"/>
      <c r="C582" s="11"/>
      <c r="D582" s="11"/>
      <c r="E582" s="11"/>
      <c r="F582" s="11"/>
      <c r="G582" s="12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2">
      <c r="A583" s="11"/>
      <c r="B583" s="11"/>
      <c r="C583" s="11"/>
      <c r="D583" s="11"/>
      <c r="E583" s="11"/>
      <c r="F583" s="11"/>
      <c r="G583" s="12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2">
      <c r="A584" s="11"/>
      <c r="B584" s="11"/>
      <c r="C584" s="11"/>
      <c r="D584" s="11"/>
      <c r="E584" s="11"/>
      <c r="F584" s="11"/>
      <c r="G584" s="12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2">
      <c r="A585" s="11"/>
      <c r="B585" s="11"/>
      <c r="C585" s="11"/>
      <c r="D585" s="11"/>
      <c r="E585" s="11"/>
      <c r="F585" s="11"/>
      <c r="G585" s="12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2">
      <c r="A586" s="11"/>
      <c r="B586" s="11"/>
      <c r="C586" s="11"/>
      <c r="D586" s="11"/>
      <c r="E586" s="11"/>
      <c r="F586" s="11"/>
      <c r="G586" s="12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2">
      <c r="A587" s="11"/>
      <c r="B587" s="11"/>
      <c r="C587" s="11"/>
      <c r="D587" s="11"/>
      <c r="E587" s="11"/>
      <c r="F587" s="11"/>
      <c r="G587" s="12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2">
      <c r="A588" s="11"/>
      <c r="B588" s="11"/>
      <c r="C588" s="11"/>
      <c r="D588" s="11"/>
      <c r="E588" s="11"/>
      <c r="F588" s="11"/>
      <c r="G588" s="12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2">
      <c r="A589" s="11"/>
      <c r="B589" s="11"/>
      <c r="C589" s="11"/>
      <c r="D589" s="11"/>
      <c r="E589" s="11"/>
      <c r="F589" s="11"/>
      <c r="G589" s="12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2">
      <c r="A590" s="11"/>
      <c r="B590" s="11"/>
      <c r="C590" s="11"/>
      <c r="D590" s="11"/>
      <c r="E590" s="11"/>
      <c r="F590" s="11"/>
      <c r="G590" s="12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2">
      <c r="A591" s="11"/>
      <c r="B591" s="11"/>
      <c r="C591" s="11"/>
      <c r="D591" s="11"/>
      <c r="E591" s="11"/>
      <c r="F591" s="11"/>
      <c r="G591" s="12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2">
      <c r="A592" s="11"/>
      <c r="B592" s="11"/>
      <c r="C592" s="11"/>
      <c r="D592" s="11"/>
      <c r="E592" s="11"/>
      <c r="F592" s="11"/>
      <c r="G592" s="12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2">
      <c r="A593" s="11"/>
      <c r="B593" s="11"/>
      <c r="C593" s="11"/>
      <c r="D593" s="11"/>
      <c r="E593" s="11"/>
      <c r="F593" s="11"/>
      <c r="G593" s="12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2">
      <c r="A594" s="11"/>
      <c r="B594" s="11"/>
      <c r="C594" s="11"/>
      <c r="D594" s="11"/>
      <c r="E594" s="11"/>
      <c r="F594" s="11"/>
      <c r="G594" s="12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2">
      <c r="A595" s="11"/>
      <c r="B595" s="11"/>
      <c r="C595" s="11"/>
      <c r="D595" s="11"/>
      <c r="E595" s="11"/>
      <c r="F595" s="11"/>
      <c r="G595" s="12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2">
      <c r="A596" s="11"/>
      <c r="B596" s="11"/>
      <c r="C596" s="11"/>
      <c r="D596" s="11"/>
      <c r="E596" s="11"/>
      <c r="F596" s="11"/>
      <c r="G596" s="12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2">
      <c r="A597" s="11"/>
      <c r="B597" s="11"/>
      <c r="C597" s="11"/>
      <c r="D597" s="11"/>
      <c r="E597" s="11"/>
      <c r="F597" s="11"/>
      <c r="G597" s="12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2">
      <c r="A598" s="11"/>
      <c r="B598" s="11"/>
      <c r="C598" s="11"/>
      <c r="D598" s="11"/>
      <c r="E598" s="11"/>
      <c r="F598" s="11"/>
      <c r="G598" s="12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2">
      <c r="A599" s="11"/>
      <c r="B599" s="11"/>
      <c r="C599" s="11"/>
      <c r="D599" s="11"/>
      <c r="E599" s="11"/>
      <c r="F599" s="11"/>
      <c r="G599" s="12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2">
      <c r="A600" s="11"/>
      <c r="B600" s="11"/>
      <c r="C600" s="11"/>
      <c r="D600" s="11"/>
      <c r="E600" s="11"/>
      <c r="F600" s="11"/>
      <c r="G600" s="12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2">
      <c r="A601" s="11"/>
      <c r="B601" s="11"/>
      <c r="C601" s="11"/>
      <c r="D601" s="11"/>
      <c r="E601" s="11"/>
      <c r="F601" s="11"/>
      <c r="G601" s="12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2">
      <c r="A602" s="11"/>
      <c r="B602" s="11"/>
      <c r="C602" s="11"/>
      <c r="D602" s="11"/>
      <c r="E602" s="11"/>
      <c r="F602" s="11"/>
      <c r="G602" s="12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2">
      <c r="A603" s="11"/>
      <c r="B603" s="11"/>
      <c r="C603" s="11"/>
      <c r="D603" s="11"/>
      <c r="E603" s="11"/>
      <c r="F603" s="11"/>
      <c r="G603" s="12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2">
      <c r="A604" s="11"/>
      <c r="B604" s="11"/>
      <c r="C604" s="11"/>
      <c r="D604" s="11"/>
      <c r="E604" s="11"/>
      <c r="F604" s="11"/>
      <c r="G604" s="12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2">
      <c r="A605" s="11"/>
      <c r="B605" s="11"/>
      <c r="C605" s="11"/>
      <c r="D605" s="11"/>
      <c r="E605" s="11"/>
      <c r="F605" s="11"/>
      <c r="G605" s="12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2">
      <c r="A606" s="11"/>
      <c r="B606" s="11"/>
      <c r="C606" s="11"/>
      <c r="D606" s="11"/>
      <c r="E606" s="11"/>
      <c r="F606" s="11"/>
      <c r="G606" s="12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2">
      <c r="A607" s="11"/>
      <c r="B607" s="11"/>
      <c r="C607" s="11"/>
      <c r="D607" s="11"/>
      <c r="E607" s="11"/>
      <c r="F607" s="11"/>
      <c r="G607" s="12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2">
      <c r="A608" s="11"/>
      <c r="B608" s="11"/>
      <c r="C608" s="11"/>
      <c r="D608" s="11"/>
      <c r="E608" s="11"/>
      <c r="F608" s="11"/>
      <c r="G608" s="12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2">
      <c r="A609" s="11"/>
      <c r="B609" s="11"/>
      <c r="C609" s="11"/>
      <c r="D609" s="11"/>
      <c r="E609" s="11"/>
      <c r="F609" s="11"/>
      <c r="G609" s="12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2">
      <c r="A610" s="11"/>
      <c r="B610" s="11"/>
      <c r="C610" s="11"/>
      <c r="D610" s="11"/>
      <c r="E610" s="11"/>
      <c r="F610" s="11"/>
      <c r="G610" s="12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2">
      <c r="A611" s="11"/>
      <c r="B611" s="11"/>
      <c r="C611" s="11"/>
      <c r="D611" s="11"/>
      <c r="E611" s="11"/>
      <c r="F611" s="11"/>
      <c r="G611" s="12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2">
      <c r="A612" s="11"/>
      <c r="B612" s="11"/>
      <c r="C612" s="11"/>
      <c r="D612" s="11"/>
      <c r="E612" s="11"/>
      <c r="F612" s="11"/>
      <c r="G612" s="12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2">
      <c r="A613" s="11"/>
      <c r="B613" s="11"/>
      <c r="C613" s="11"/>
      <c r="D613" s="11"/>
      <c r="E613" s="11"/>
      <c r="F613" s="11"/>
      <c r="G613" s="12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2">
      <c r="A614" s="11"/>
      <c r="B614" s="11"/>
      <c r="C614" s="11"/>
      <c r="D614" s="11"/>
      <c r="E614" s="11"/>
      <c r="F614" s="11"/>
      <c r="G614" s="12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2">
      <c r="A615" s="11"/>
      <c r="B615" s="11"/>
      <c r="C615" s="11"/>
      <c r="D615" s="11"/>
      <c r="E615" s="11"/>
      <c r="F615" s="11"/>
      <c r="G615" s="12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2">
      <c r="A616" s="11"/>
      <c r="B616" s="11"/>
      <c r="C616" s="11"/>
      <c r="D616" s="11"/>
      <c r="E616" s="11"/>
      <c r="F616" s="11"/>
      <c r="G616" s="12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2">
      <c r="A617" s="11"/>
      <c r="B617" s="11"/>
      <c r="C617" s="11"/>
      <c r="D617" s="11"/>
      <c r="E617" s="11"/>
      <c r="F617" s="11"/>
      <c r="G617" s="12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2">
      <c r="A618" s="11"/>
      <c r="B618" s="11"/>
      <c r="C618" s="11"/>
      <c r="D618" s="11"/>
      <c r="E618" s="11"/>
      <c r="F618" s="11"/>
      <c r="G618" s="12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2">
      <c r="A619" s="11"/>
      <c r="B619" s="11"/>
      <c r="C619" s="11"/>
      <c r="D619" s="11"/>
      <c r="E619" s="11"/>
      <c r="F619" s="11"/>
      <c r="G619" s="12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2">
      <c r="A620" s="11"/>
      <c r="B620" s="11"/>
      <c r="C620" s="11"/>
      <c r="D620" s="11"/>
      <c r="E620" s="11"/>
      <c r="F620" s="11"/>
      <c r="G620" s="12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2">
      <c r="A621" s="11"/>
      <c r="B621" s="11"/>
      <c r="C621" s="11"/>
      <c r="D621" s="11"/>
      <c r="E621" s="11"/>
      <c r="F621" s="11"/>
      <c r="G621" s="12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2">
      <c r="A622" s="11"/>
      <c r="B622" s="11"/>
      <c r="C622" s="11"/>
      <c r="D622" s="11"/>
      <c r="E622" s="11"/>
      <c r="F622" s="11"/>
      <c r="G622" s="12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2">
      <c r="A623" s="11"/>
      <c r="B623" s="11"/>
      <c r="C623" s="11"/>
      <c r="D623" s="11"/>
      <c r="E623" s="11"/>
      <c r="F623" s="11"/>
      <c r="G623" s="12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2">
      <c r="A624" s="11"/>
      <c r="B624" s="11"/>
      <c r="C624" s="11"/>
      <c r="D624" s="11"/>
      <c r="E624" s="11"/>
      <c r="F624" s="11"/>
      <c r="G624" s="12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2">
      <c r="A625" s="11"/>
      <c r="B625" s="11"/>
      <c r="C625" s="11"/>
      <c r="D625" s="11"/>
      <c r="E625" s="11"/>
      <c r="F625" s="11"/>
      <c r="G625" s="12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2">
      <c r="A626" s="11"/>
      <c r="B626" s="11"/>
      <c r="C626" s="11"/>
      <c r="D626" s="11"/>
      <c r="E626" s="11"/>
      <c r="F626" s="11"/>
      <c r="G626" s="12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2">
      <c r="A627" s="11"/>
      <c r="B627" s="11"/>
      <c r="C627" s="11"/>
      <c r="D627" s="11"/>
      <c r="E627" s="11"/>
      <c r="F627" s="11"/>
      <c r="G627" s="12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2">
      <c r="A628" s="11"/>
      <c r="B628" s="11"/>
      <c r="C628" s="11"/>
      <c r="D628" s="11"/>
      <c r="E628" s="11"/>
      <c r="F628" s="11"/>
      <c r="G628" s="12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2">
      <c r="A629" s="11"/>
      <c r="B629" s="11"/>
      <c r="C629" s="11"/>
      <c r="D629" s="11"/>
      <c r="E629" s="11"/>
      <c r="F629" s="11"/>
      <c r="G629" s="12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2">
      <c r="A630" s="11"/>
      <c r="B630" s="11"/>
      <c r="C630" s="11"/>
      <c r="D630" s="11"/>
      <c r="E630" s="11"/>
      <c r="F630" s="11"/>
      <c r="G630" s="12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2">
      <c r="A631" s="11"/>
      <c r="B631" s="11"/>
      <c r="C631" s="11"/>
      <c r="D631" s="11"/>
      <c r="E631" s="11"/>
      <c r="F631" s="11"/>
      <c r="G631" s="12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2">
      <c r="A632" s="11"/>
      <c r="B632" s="11"/>
      <c r="C632" s="11"/>
      <c r="D632" s="11"/>
      <c r="E632" s="11"/>
      <c r="F632" s="11"/>
      <c r="G632" s="12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2">
      <c r="A633" s="11"/>
      <c r="B633" s="11"/>
      <c r="C633" s="11"/>
      <c r="D633" s="11"/>
      <c r="E633" s="11"/>
      <c r="F633" s="11"/>
      <c r="G633" s="12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2">
      <c r="A634" s="11"/>
      <c r="B634" s="11"/>
      <c r="C634" s="11"/>
      <c r="D634" s="11"/>
      <c r="E634" s="11"/>
      <c r="F634" s="11"/>
      <c r="G634" s="12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2">
      <c r="A635" s="11"/>
      <c r="B635" s="11"/>
      <c r="C635" s="11"/>
      <c r="D635" s="11"/>
      <c r="E635" s="11"/>
      <c r="F635" s="11"/>
      <c r="G635" s="12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2">
      <c r="A636" s="11"/>
      <c r="B636" s="11"/>
      <c r="C636" s="11"/>
      <c r="D636" s="11"/>
      <c r="E636" s="11"/>
      <c r="F636" s="11"/>
      <c r="G636" s="12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2">
      <c r="A637" s="11"/>
      <c r="B637" s="11"/>
      <c r="C637" s="11"/>
      <c r="D637" s="11"/>
      <c r="E637" s="11"/>
      <c r="F637" s="11"/>
      <c r="G637" s="12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2">
      <c r="A638" s="11"/>
      <c r="B638" s="11"/>
      <c r="C638" s="11"/>
      <c r="D638" s="11"/>
      <c r="E638" s="11"/>
      <c r="F638" s="11"/>
      <c r="G638" s="12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2">
      <c r="A639" s="11"/>
      <c r="B639" s="11"/>
      <c r="C639" s="11"/>
      <c r="D639" s="11"/>
      <c r="E639" s="11"/>
      <c r="F639" s="11"/>
      <c r="G639" s="12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2">
      <c r="A640" s="11"/>
      <c r="B640" s="11"/>
      <c r="C640" s="11"/>
      <c r="D640" s="11"/>
      <c r="E640" s="11"/>
      <c r="F640" s="11"/>
      <c r="G640" s="12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2">
      <c r="A641" s="11"/>
      <c r="B641" s="11"/>
      <c r="C641" s="11"/>
      <c r="D641" s="11"/>
      <c r="E641" s="11"/>
      <c r="F641" s="11"/>
      <c r="G641" s="12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2">
      <c r="A642" s="11"/>
      <c r="B642" s="11"/>
      <c r="C642" s="11"/>
      <c r="D642" s="11"/>
      <c r="E642" s="11"/>
      <c r="F642" s="11"/>
      <c r="G642" s="12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2">
      <c r="A643" s="11"/>
      <c r="B643" s="11"/>
      <c r="C643" s="11"/>
      <c r="D643" s="11"/>
      <c r="E643" s="11"/>
      <c r="F643" s="11"/>
      <c r="G643" s="12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2">
      <c r="A644" s="11"/>
      <c r="B644" s="11"/>
      <c r="C644" s="11"/>
      <c r="D644" s="11"/>
      <c r="E644" s="11"/>
      <c r="F644" s="11"/>
      <c r="G644" s="12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2">
      <c r="A645" s="11"/>
      <c r="B645" s="11"/>
      <c r="C645" s="11"/>
      <c r="D645" s="11"/>
      <c r="E645" s="11"/>
      <c r="F645" s="11"/>
      <c r="G645" s="12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2">
      <c r="A646" s="11"/>
      <c r="B646" s="11"/>
      <c r="C646" s="11"/>
      <c r="D646" s="11"/>
      <c r="E646" s="11"/>
      <c r="F646" s="11"/>
      <c r="G646" s="12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2">
      <c r="A647" s="11"/>
      <c r="B647" s="11"/>
      <c r="C647" s="11"/>
      <c r="D647" s="11"/>
      <c r="E647" s="11"/>
      <c r="F647" s="11"/>
      <c r="G647" s="12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2">
      <c r="A648" s="11"/>
      <c r="B648" s="11"/>
      <c r="C648" s="11"/>
      <c r="D648" s="11"/>
      <c r="E648" s="11"/>
      <c r="F648" s="11"/>
      <c r="G648" s="12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2">
      <c r="A649" s="11"/>
      <c r="B649" s="11"/>
      <c r="C649" s="11"/>
      <c r="D649" s="11"/>
      <c r="E649" s="11"/>
      <c r="F649" s="11"/>
      <c r="G649" s="12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2">
      <c r="A650" s="11"/>
      <c r="B650" s="11"/>
      <c r="C650" s="11"/>
      <c r="D650" s="11"/>
      <c r="E650" s="11"/>
      <c r="F650" s="11"/>
      <c r="G650" s="12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2">
      <c r="A651" s="11"/>
      <c r="B651" s="11"/>
      <c r="C651" s="11"/>
      <c r="D651" s="11"/>
      <c r="E651" s="11"/>
      <c r="F651" s="11"/>
      <c r="G651" s="12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2">
      <c r="A652" s="11"/>
      <c r="B652" s="11"/>
      <c r="C652" s="11"/>
      <c r="D652" s="11"/>
      <c r="E652" s="11"/>
      <c r="F652" s="11"/>
      <c r="G652" s="12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2">
      <c r="A653" s="11"/>
      <c r="B653" s="11"/>
      <c r="C653" s="11"/>
      <c r="D653" s="11"/>
      <c r="E653" s="11"/>
      <c r="F653" s="11"/>
      <c r="G653" s="12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2">
      <c r="A654" s="11"/>
      <c r="B654" s="11"/>
      <c r="C654" s="11"/>
      <c r="D654" s="11"/>
      <c r="E654" s="11"/>
      <c r="F654" s="11"/>
      <c r="G654" s="12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2">
      <c r="A655" s="11"/>
      <c r="B655" s="11"/>
      <c r="C655" s="11"/>
      <c r="D655" s="11"/>
      <c r="E655" s="11"/>
      <c r="F655" s="11"/>
      <c r="G655" s="12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2">
      <c r="A656" s="11"/>
      <c r="B656" s="11"/>
      <c r="C656" s="11"/>
      <c r="D656" s="11"/>
      <c r="E656" s="11"/>
      <c r="F656" s="11"/>
      <c r="G656" s="12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2">
      <c r="A657" s="11"/>
      <c r="B657" s="11"/>
      <c r="C657" s="11"/>
      <c r="D657" s="11"/>
      <c r="E657" s="11"/>
      <c r="F657" s="11"/>
      <c r="G657" s="12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2">
      <c r="A658" s="11"/>
      <c r="B658" s="11"/>
      <c r="C658" s="11"/>
      <c r="D658" s="11"/>
      <c r="E658" s="11"/>
      <c r="F658" s="11"/>
      <c r="G658" s="12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2">
      <c r="A659" s="11"/>
      <c r="B659" s="11"/>
      <c r="C659" s="11"/>
      <c r="D659" s="11"/>
      <c r="E659" s="11"/>
      <c r="F659" s="11"/>
      <c r="G659" s="12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2">
      <c r="A660" s="11"/>
      <c r="B660" s="11"/>
      <c r="C660" s="11"/>
      <c r="D660" s="11"/>
      <c r="E660" s="11"/>
      <c r="F660" s="11"/>
      <c r="G660" s="12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2">
      <c r="A661" s="11"/>
      <c r="B661" s="11"/>
      <c r="C661" s="11"/>
      <c r="D661" s="11"/>
      <c r="E661" s="11"/>
      <c r="F661" s="11"/>
      <c r="G661" s="12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2">
      <c r="A662" s="11"/>
      <c r="B662" s="11"/>
      <c r="C662" s="11"/>
      <c r="D662" s="11"/>
      <c r="E662" s="11"/>
      <c r="F662" s="11"/>
      <c r="G662" s="12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2">
      <c r="A663" s="11"/>
      <c r="B663" s="11"/>
      <c r="C663" s="11"/>
      <c r="D663" s="11"/>
      <c r="E663" s="11"/>
      <c r="F663" s="11"/>
      <c r="G663" s="12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2">
      <c r="A664" s="11"/>
      <c r="B664" s="11"/>
      <c r="C664" s="11"/>
      <c r="D664" s="11"/>
      <c r="E664" s="11"/>
      <c r="F664" s="11"/>
      <c r="G664" s="12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2">
      <c r="A665" s="11"/>
      <c r="B665" s="11"/>
      <c r="C665" s="11"/>
      <c r="D665" s="11"/>
      <c r="E665" s="11"/>
      <c r="F665" s="11"/>
      <c r="G665" s="12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2">
      <c r="A666" s="11"/>
      <c r="B666" s="11"/>
      <c r="C666" s="11"/>
      <c r="D666" s="11"/>
      <c r="E666" s="11"/>
      <c r="F666" s="11"/>
      <c r="G666" s="12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2">
      <c r="A667" s="11"/>
      <c r="B667" s="11"/>
      <c r="C667" s="11"/>
      <c r="D667" s="11"/>
      <c r="E667" s="11"/>
      <c r="F667" s="11"/>
      <c r="G667" s="12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2">
      <c r="A668" s="11"/>
      <c r="B668" s="11"/>
      <c r="C668" s="11"/>
      <c r="D668" s="11"/>
      <c r="E668" s="11"/>
      <c r="F668" s="11"/>
      <c r="G668" s="12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2">
      <c r="A669" s="11"/>
      <c r="B669" s="11"/>
      <c r="C669" s="11"/>
      <c r="D669" s="11"/>
      <c r="E669" s="11"/>
      <c r="F669" s="11"/>
      <c r="G669" s="12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2">
      <c r="A670" s="11"/>
      <c r="B670" s="11"/>
      <c r="C670" s="11"/>
      <c r="D670" s="11"/>
      <c r="E670" s="11"/>
      <c r="F670" s="11"/>
      <c r="G670" s="12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2">
      <c r="A671" s="11"/>
      <c r="B671" s="11"/>
      <c r="C671" s="11"/>
      <c r="D671" s="11"/>
      <c r="E671" s="11"/>
      <c r="F671" s="11"/>
      <c r="G671" s="12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2">
      <c r="A672" s="11"/>
      <c r="B672" s="11"/>
      <c r="C672" s="11"/>
      <c r="D672" s="11"/>
      <c r="E672" s="11"/>
      <c r="F672" s="11"/>
      <c r="G672" s="12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2">
      <c r="A673" s="11"/>
      <c r="B673" s="11"/>
      <c r="C673" s="11"/>
      <c r="D673" s="11"/>
      <c r="E673" s="11"/>
      <c r="F673" s="11"/>
      <c r="G673" s="12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2">
      <c r="A674" s="11"/>
      <c r="B674" s="11"/>
      <c r="C674" s="11"/>
      <c r="D674" s="11"/>
      <c r="E674" s="11"/>
      <c r="F674" s="11"/>
      <c r="G674" s="12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2">
      <c r="A675" s="11"/>
      <c r="B675" s="11"/>
      <c r="C675" s="11"/>
      <c r="D675" s="11"/>
      <c r="E675" s="11"/>
      <c r="F675" s="11"/>
      <c r="G675" s="12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2">
      <c r="A676" s="11"/>
      <c r="B676" s="11"/>
      <c r="C676" s="11"/>
      <c r="D676" s="11"/>
      <c r="E676" s="11"/>
      <c r="F676" s="11"/>
      <c r="G676" s="12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2">
      <c r="A677" s="11"/>
      <c r="B677" s="11"/>
      <c r="C677" s="11"/>
      <c r="D677" s="11"/>
      <c r="E677" s="11"/>
      <c r="F677" s="11"/>
      <c r="G677" s="12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2">
      <c r="A678" s="11"/>
      <c r="B678" s="11"/>
      <c r="C678" s="11"/>
      <c r="D678" s="11"/>
      <c r="E678" s="11"/>
      <c r="F678" s="11"/>
      <c r="G678" s="12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2">
      <c r="A679" s="11"/>
      <c r="B679" s="11"/>
      <c r="C679" s="11"/>
      <c r="D679" s="11"/>
      <c r="E679" s="11"/>
      <c r="F679" s="11"/>
      <c r="G679" s="12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2">
      <c r="A680" s="11"/>
      <c r="B680" s="11"/>
      <c r="C680" s="11"/>
      <c r="D680" s="11"/>
      <c r="E680" s="11"/>
      <c r="F680" s="11"/>
      <c r="G680" s="12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2">
      <c r="A681" s="11"/>
      <c r="B681" s="11"/>
      <c r="C681" s="11"/>
      <c r="D681" s="11"/>
      <c r="E681" s="11"/>
      <c r="F681" s="11"/>
      <c r="G681" s="12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2">
      <c r="A682" s="11"/>
      <c r="B682" s="11"/>
      <c r="C682" s="11"/>
      <c r="D682" s="11"/>
      <c r="E682" s="11"/>
      <c r="F682" s="11"/>
      <c r="G682" s="12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2">
      <c r="A683" s="11"/>
      <c r="B683" s="11"/>
      <c r="C683" s="11"/>
      <c r="D683" s="11"/>
      <c r="E683" s="11"/>
      <c r="F683" s="11"/>
      <c r="G683" s="12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2">
      <c r="A684" s="11"/>
      <c r="B684" s="11"/>
      <c r="C684" s="11"/>
      <c r="D684" s="11"/>
      <c r="E684" s="11"/>
      <c r="F684" s="11"/>
      <c r="G684" s="12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2">
      <c r="A685" s="11"/>
      <c r="B685" s="11"/>
      <c r="C685" s="11"/>
      <c r="D685" s="11"/>
      <c r="E685" s="11"/>
      <c r="F685" s="11"/>
      <c r="G685" s="12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2">
      <c r="A686" s="11"/>
      <c r="B686" s="11"/>
      <c r="C686" s="11"/>
      <c r="D686" s="11"/>
      <c r="E686" s="11"/>
      <c r="F686" s="11"/>
      <c r="G686" s="12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2">
      <c r="A687" s="11"/>
      <c r="B687" s="11"/>
      <c r="C687" s="11"/>
      <c r="D687" s="11"/>
      <c r="E687" s="11"/>
      <c r="F687" s="11"/>
      <c r="G687" s="12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2">
      <c r="A688" s="11"/>
      <c r="B688" s="11"/>
      <c r="C688" s="11"/>
      <c r="D688" s="11"/>
      <c r="E688" s="11"/>
      <c r="F688" s="11"/>
      <c r="G688" s="12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2">
      <c r="A689" s="11"/>
      <c r="B689" s="11"/>
      <c r="C689" s="11"/>
      <c r="D689" s="11"/>
      <c r="E689" s="11"/>
      <c r="F689" s="11"/>
      <c r="G689" s="12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2">
      <c r="A690" s="11"/>
      <c r="B690" s="11"/>
      <c r="C690" s="11"/>
      <c r="D690" s="11"/>
      <c r="E690" s="11"/>
      <c r="F690" s="11"/>
      <c r="G690" s="12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2">
      <c r="A691" s="11"/>
      <c r="B691" s="11"/>
      <c r="C691" s="11"/>
      <c r="D691" s="11"/>
      <c r="E691" s="11"/>
      <c r="F691" s="11"/>
      <c r="G691" s="12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2">
      <c r="A692" s="11"/>
      <c r="B692" s="11"/>
      <c r="C692" s="11"/>
      <c r="D692" s="11"/>
      <c r="E692" s="11"/>
      <c r="F692" s="11"/>
      <c r="G692" s="12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2">
      <c r="A693" s="11"/>
      <c r="B693" s="11"/>
      <c r="C693" s="11"/>
      <c r="D693" s="11"/>
      <c r="E693" s="11"/>
      <c r="F693" s="11"/>
      <c r="G693" s="12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2">
      <c r="A694" s="11"/>
      <c r="B694" s="11"/>
      <c r="C694" s="11"/>
      <c r="D694" s="11"/>
      <c r="E694" s="11"/>
      <c r="F694" s="11"/>
      <c r="G694" s="12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2">
      <c r="A695" s="11"/>
      <c r="B695" s="11"/>
      <c r="C695" s="11"/>
      <c r="D695" s="11"/>
      <c r="E695" s="11"/>
      <c r="F695" s="11"/>
      <c r="G695" s="12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2">
      <c r="A696" s="11"/>
      <c r="B696" s="11"/>
      <c r="C696" s="11"/>
      <c r="D696" s="11"/>
      <c r="E696" s="11"/>
      <c r="F696" s="11"/>
      <c r="G696" s="12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2">
      <c r="A697" s="11"/>
      <c r="B697" s="11"/>
      <c r="C697" s="11"/>
      <c r="D697" s="11"/>
      <c r="E697" s="11"/>
      <c r="F697" s="11"/>
      <c r="G697" s="12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2">
      <c r="A698" s="11"/>
      <c r="B698" s="11"/>
      <c r="C698" s="11"/>
      <c r="D698" s="11"/>
      <c r="E698" s="11"/>
      <c r="F698" s="11"/>
      <c r="G698" s="12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2">
      <c r="A699" s="11"/>
      <c r="B699" s="11"/>
      <c r="C699" s="11"/>
      <c r="D699" s="11"/>
      <c r="E699" s="11"/>
      <c r="F699" s="11"/>
      <c r="G699" s="12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2">
      <c r="A700" s="11"/>
      <c r="B700" s="11"/>
      <c r="C700" s="11"/>
      <c r="D700" s="11"/>
      <c r="E700" s="11"/>
      <c r="F700" s="11"/>
      <c r="G700" s="12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2">
      <c r="A701" s="11"/>
      <c r="B701" s="11"/>
      <c r="C701" s="11"/>
      <c r="D701" s="11"/>
      <c r="E701" s="11"/>
      <c r="F701" s="11"/>
      <c r="G701" s="12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2">
      <c r="A702" s="11"/>
      <c r="B702" s="11"/>
      <c r="C702" s="11"/>
      <c r="D702" s="11"/>
      <c r="E702" s="11"/>
      <c r="F702" s="11"/>
      <c r="G702" s="12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2">
      <c r="A703" s="11"/>
      <c r="B703" s="11"/>
      <c r="C703" s="11"/>
      <c r="D703" s="11"/>
      <c r="E703" s="11"/>
      <c r="F703" s="11"/>
      <c r="G703" s="12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2">
      <c r="A704" s="11"/>
      <c r="B704" s="11"/>
      <c r="C704" s="11"/>
      <c r="D704" s="11"/>
      <c r="E704" s="11"/>
      <c r="F704" s="11"/>
      <c r="G704" s="12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2">
      <c r="A705" s="11"/>
      <c r="B705" s="11"/>
      <c r="C705" s="11"/>
      <c r="D705" s="11"/>
      <c r="E705" s="11"/>
      <c r="F705" s="11"/>
      <c r="G705" s="12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2">
      <c r="A706" s="11"/>
      <c r="B706" s="11"/>
      <c r="C706" s="11"/>
      <c r="D706" s="11"/>
      <c r="E706" s="11"/>
      <c r="F706" s="11"/>
      <c r="G706" s="12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2">
      <c r="A707" s="11"/>
      <c r="B707" s="11"/>
      <c r="C707" s="11"/>
      <c r="D707" s="11"/>
      <c r="E707" s="11"/>
      <c r="F707" s="11"/>
      <c r="G707" s="12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2">
      <c r="A708" s="11"/>
      <c r="B708" s="11"/>
      <c r="C708" s="11"/>
      <c r="D708" s="11"/>
      <c r="E708" s="11"/>
      <c r="F708" s="11"/>
      <c r="G708" s="12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2">
      <c r="A709" s="11"/>
      <c r="B709" s="11"/>
      <c r="C709" s="11"/>
      <c r="D709" s="11"/>
      <c r="E709" s="11"/>
      <c r="F709" s="11"/>
      <c r="G709" s="12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2">
      <c r="A710" s="11"/>
      <c r="B710" s="11"/>
      <c r="C710" s="11"/>
      <c r="D710" s="11"/>
      <c r="E710" s="11"/>
      <c r="F710" s="11"/>
      <c r="G710" s="12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2">
      <c r="A711" s="11"/>
      <c r="B711" s="11"/>
      <c r="C711" s="11"/>
      <c r="D711" s="11"/>
      <c r="E711" s="11"/>
      <c r="F711" s="11"/>
      <c r="G711" s="12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2">
      <c r="A712" s="11"/>
      <c r="B712" s="11"/>
      <c r="C712" s="11"/>
      <c r="D712" s="11"/>
      <c r="E712" s="11"/>
      <c r="F712" s="11"/>
      <c r="G712" s="12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2">
      <c r="A713" s="11"/>
      <c r="B713" s="11"/>
      <c r="C713" s="11"/>
      <c r="D713" s="11"/>
      <c r="E713" s="11"/>
      <c r="F713" s="11"/>
      <c r="G713" s="12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2">
      <c r="A714" s="11"/>
      <c r="B714" s="11"/>
      <c r="C714" s="11"/>
      <c r="D714" s="11"/>
      <c r="E714" s="11"/>
      <c r="F714" s="11"/>
      <c r="G714" s="12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2">
      <c r="A715" s="11"/>
      <c r="B715" s="11"/>
      <c r="C715" s="11"/>
      <c r="D715" s="11"/>
      <c r="E715" s="11"/>
      <c r="F715" s="11"/>
      <c r="G715" s="12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2">
      <c r="A716" s="11"/>
      <c r="B716" s="11"/>
      <c r="C716" s="11"/>
      <c r="D716" s="11"/>
      <c r="E716" s="11"/>
      <c r="F716" s="11"/>
      <c r="G716" s="12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2">
      <c r="A717" s="11"/>
      <c r="B717" s="11"/>
      <c r="C717" s="11"/>
      <c r="D717" s="11"/>
      <c r="E717" s="11"/>
      <c r="F717" s="11"/>
      <c r="G717" s="12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2">
      <c r="A718" s="11"/>
      <c r="B718" s="11"/>
      <c r="C718" s="11"/>
      <c r="D718" s="11"/>
      <c r="E718" s="11"/>
      <c r="F718" s="11"/>
      <c r="G718" s="12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2">
      <c r="A719" s="11"/>
      <c r="B719" s="11"/>
      <c r="C719" s="11"/>
      <c r="D719" s="11"/>
      <c r="E719" s="11"/>
      <c r="F719" s="11"/>
      <c r="G719" s="12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2">
      <c r="A720" s="11"/>
      <c r="B720" s="11"/>
      <c r="C720" s="11"/>
      <c r="D720" s="11"/>
      <c r="E720" s="11"/>
      <c r="F720" s="11"/>
      <c r="G720" s="12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2">
      <c r="A721" s="11"/>
      <c r="B721" s="11"/>
      <c r="C721" s="11"/>
      <c r="D721" s="11"/>
      <c r="E721" s="11"/>
      <c r="F721" s="11"/>
      <c r="G721" s="12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2">
      <c r="A722" s="11"/>
      <c r="B722" s="11"/>
      <c r="C722" s="11"/>
      <c r="D722" s="11"/>
      <c r="E722" s="11"/>
      <c r="F722" s="11"/>
      <c r="G722" s="12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2">
      <c r="A723" s="11"/>
      <c r="B723" s="11"/>
      <c r="C723" s="11"/>
      <c r="D723" s="11"/>
      <c r="E723" s="11"/>
      <c r="F723" s="11"/>
      <c r="G723" s="12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2">
      <c r="A724" s="11"/>
      <c r="B724" s="11"/>
      <c r="C724" s="11"/>
      <c r="D724" s="11"/>
      <c r="E724" s="11"/>
      <c r="F724" s="11"/>
      <c r="G724" s="12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2">
      <c r="A725" s="11"/>
      <c r="B725" s="11"/>
      <c r="C725" s="11"/>
      <c r="D725" s="11"/>
      <c r="E725" s="11"/>
      <c r="F725" s="11"/>
      <c r="G725" s="12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2">
      <c r="A726" s="11"/>
      <c r="B726" s="11"/>
      <c r="C726" s="11"/>
      <c r="D726" s="11"/>
      <c r="E726" s="11"/>
      <c r="F726" s="11"/>
      <c r="G726" s="12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2">
      <c r="A727" s="11"/>
      <c r="B727" s="11"/>
      <c r="C727" s="11"/>
      <c r="D727" s="11"/>
      <c r="E727" s="11"/>
      <c r="F727" s="11"/>
      <c r="G727" s="12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2">
      <c r="A728" s="11"/>
      <c r="B728" s="11"/>
      <c r="C728" s="11"/>
      <c r="D728" s="11"/>
      <c r="E728" s="11"/>
      <c r="F728" s="11"/>
      <c r="G728" s="12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2">
      <c r="A729" s="11"/>
      <c r="B729" s="11"/>
      <c r="C729" s="11"/>
      <c r="D729" s="11"/>
      <c r="E729" s="11"/>
      <c r="F729" s="11"/>
      <c r="G729" s="12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2">
      <c r="A730" s="11"/>
      <c r="B730" s="11"/>
      <c r="C730" s="11"/>
      <c r="D730" s="11"/>
      <c r="E730" s="11"/>
      <c r="F730" s="11"/>
      <c r="G730" s="12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2">
      <c r="A731" s="11"/>
      <c r="B731" s="11"/>
      <c r="C731" s="11"/>
      <c r="D731" s="11"/>
      <c r="E731" s="11"/>
      <c r="F731" s="11"/>
      <c r="G731" s="12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2">
      <c r="A732" s="11"/>
      <c r="B732" s="11"/>
      <c r="C732" s="11"/>
      <c r="D732" s="11"/>
      <c r="E732" s="11"/>
      <c r="F732" s="11"/>
      <c r="G732" s="12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2">
      <c r="A733" s="11"/>
      <c r="B733" s="11"/>
      <c r="C733" s="11"/>
      <c r="D733" s="11"/>
      <c r="E733" s="11"/>
      <c r="F733" s="11"/>
      <c r="G733" s="12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2">
      <c r="A734" s="11"/>
      <c r="B734" s="11"/>
      <c r="C734" s="11"/>
      <c r="D734" s="11"/>
      <c r="E734" s="11"/>
      <c r="F734" s="11"/>
      <c r="G734" s="12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2">
      <c r="A735" s="11"/>
      <c r="B735" s="11"/>
      <c r="C735" s="11"/>
      <c r="D735" s="11"/>
      <c r="E735" s="11"/>
      <c r="F735" s="11"/>
      <c r="G735" s="12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2">
      <c r="A736" s="11"/>
      <c r="B736" s="11"/>
      <c r="C736" s="11"/>
      <c r="D736" s="11"/>
      <c r="E736" s="11"/>
      <c r="F736" s="11"/>
      <c r="G736" s="12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2">
      <c r="A737" s="11"/>
      <c r="B737" s="11"/>
      <c r="C737" s="11"/>
      <c r="D737" s="11"/>
      <c r="E737" s="11"/>
      <c r="F737" s="11"/>
      <c r="G737" s="12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2">
      <c r="A738" s="11"/>
      <c r="B738" s="11"/>
      <c r="C738" s="11"/>
      <c r="D738" s="11"/>
      <c r="E738" s="11"/>
      <c r="F738" s="11"/>
      <c r="G738" s="12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2">
      <c r="A739" s="11"/>
      <c r="B739" s="11"/>
      <c r="C739" s="11"/>
      <c r="D739" s="11"/>
      <c r="E739" s="11"/>
      <c r="F739" s="11"/>
      <c r="G739" s="12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2">
      <c r="A740" s="11"/>
      <c r="B740" s="11"/>
      <c r="C740" s="11"/>
      <c r="D740" s="11"/>
      <c r="E740" s="11"/>
      <c r="F740" s="11"/>
      <c r="G740" s="12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2">
      <c r="A741" s="11"/>
      <c r="B741" s="11"/>
      <c r="C741" s="11"/>
      <c r="D741" s="11"/>
      <c r="E741" s="11"/>
      <c r="F741" s="11"/>
      <c r="G741" s="12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2">
      <c r="A742" s="11"/>
      <c r="B742" s="11"/>
      <c r="C742" s="11"/>
      <c r="D742" s="11"/>
      <c r="E742" s="11"/>
      <c r="F742" s="11"/>
      <c r="G742" s="12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2">
      <c r="A743" s="11"/>
      <c r="B743" s="11"/>
      <c r="C743" s="11"/>
      <c r="D743" s="11"/>
      <c r="E743" s="11"/>
      <c r="F743" s="11"/>
      <c r="G743" s="12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2">
      <c r="A744" s="11"/>
      <c r="B744" s="11"/>
      <c r="C744" s="11"/>
      <c r="D744" s="11"/>
      <c r="E744" s="11"/>
      <c r="F744" s="11"/>
      <c r="G744" s="12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2">
      <c r="A745" s="11"/>
      <c r="B745" s="11"/>
      <c r="C745" s="11"/>
      <c r="D745" s="11"/>
      <c r="E745" s="11"/>
      <c r="F745" s="11"/>
      <c r="G745" s="12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2">
      <c r="A746" s="11"/>
      <c r="B746" s="11"/>
      <c r="C746" s="11"/>
      <c r="D746" s="11"/>
      <c r="E746" s="11"/>
      <c r="F746" s="11"/>
      <c r="G746" s="12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2">
      <c r="A747" s="11"/>
      <c r="B747" s="11"/>
      <c r="C747" s="11"/>
      <c r="D747" s="11"/>
      <c r="E747" s="11"/>
      <c r="F747" s="11"/>
      <c r="G747" s="12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2">
      <c r="A748" s="11"/>
      <c r="B748" s="11"/>
      <c r="C748" s="11"/>
      <c r="D748" s="11"/>
      <c r="E748" s="11"/>
      <c r="F748" s="11"/>
      <c r="G748" s="12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2">
      <c r="A749" s="11"/>
      <c r="B749" s="11"/>
      <c r="C749" s="11"/>
      <c r="D749" s="11"/>
      <c r="E749" s="11"/>
      <c r="F749" s="11"/>
      <c r="G749" s="12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2">
      <c r="A750" s="11"/>
      <c r="B750" s="11"/>
      <c r="C750" s="11"/>
      <c r="D750" s="11"/>
      <c r="E750" s="11"/>
      <c r="F750" s="11"/>
      <c r="G750" s="12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2">
      <c r="A751" s="11"/>
      <c r="B751" s="11"/>
      <c r="C751" s="11"/>
      <c r="D751" s="11"/>
      <c r="E751" s="11"/>
      <c r="F751" s="11"/>
      <c r="G751" s="12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2">
      <c r="A752" s="11"/>
      <c r="B752" s="11"/>
      <c r="C752" s="11"/>
      <c r="D752" s="11"/>
      <c r="E752" s="11"/>
      <c r="F752" s="11"/>
      <c r="G752" s="12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2">
      <c r="A753" s="11"/>
      <c r="B753" s="11"/>
      <c r="C753" s="11"/>
      <c r="D753" s="11"/>
      <c r="E753" s="11"/>
      <c r="F753" s="11"/>
      <c r="G753" s="12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2">
      <c r="A754" s="11"/>
      <c r="B754" s="11"/>
      <c r="C754" s="11"/>
      <c r="D754" s="11"/>
      <c r="E754" s="11"/>
      <c r="F754" s="11"/>
      <c r="G754" s="12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2">
      <c r="A755" s="11"/>
      <c r="B755" s="11"/>
      <c r="C755" s="11"/>
      <c r="D755" s="11"/>
      <c r="E755" s="11"/>
      <c r="F755" s="11"/>
      <c r="G755" s="12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2">
      <c r="A756" s="11"/>
      <c r="B756" s="11"/>
      <c r="C756" s="11"/>
      <c r="D756" s="11"/>
      <c r="E756" s="11"/>
      <c r="F756" s="11"/>
      <c r="G756" s="12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2">
      <c r="A757" s="11"/>
      <c r="B757" s="11"/>
      <c r="C757" s="11"/>
      <c r="D757" s="11"/>
      <c r="E757" s="11"/>
      <c r="F757" s="11"/>
      <c r="G757" s="12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2">
      <c r="A758" s="11"/>
      <c r="B758" s="11"/>
      <c r="C758" s="11"/>
      <c r="D758" s="11"/>
      <c r="E758" s="11"/>
      <c r="F758" s="11"/>
      <c r="G758" s="12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2">
      <c r="A759" s="11"/>
      <c r="B759" s="11"/>
      <c r="C759" s="11"/>
      <c r="D759" s="11"/>
      <c r="E759" s="11"/>
      <c r="F759" s="11"/>
      <c r="G759" s="12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2">
      <c r="A760" s="11"/>
      <c r="B760" s="11"/>
      <c r="C760" s="11"/>
      <c r="D760" s="11"/>
      <c r="E760" s="11"/>
      <c r="F760" s="11"/>
      <c r="G760" s="12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2">
      <c r="A761" s="11"/>
      <c r="B761" s="11"/>
      <c r="C761" s="11"/>
      <c r="D761" s="11"/>
      <c r="E761" s="11"/>
      <c r="F761" s="11"/>
      <c r="G761" s="12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2">
      <c r="A762" s="11"/>
      <c r="B762" s="11"/>
      <c r="C762" s="11"/>
      <c r="D762" s="11"/>
      <c r="E762" s="11"/>
      <c r="F762" s="11"/>
      <c r="G762" s="12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2">
      <c r="A763" s="11"/>
      <c r="B763" s="11"/>
      <c r="C763" s="11"/>
      <c r="D763" s="11"/>
      <c r="E763" s="11"/>
      <c r="F763" s="11"/>
      <c r="G763" s="12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2">
      <c r="A764" s="11"/>
      <c r="B764" s="11"/>
      <c r="C764" s="11"/>
      <c r="D764" s="11"/>
      <c r="E764" s="11"/>
      <c r="F764" s="11"/>
      <c r="G764" s="12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2">
      <c r="A765" s="11"/>
      <c r="B765" s="11"/>
      <c r="C765" s="11"/>
      <c r="D765" s="11"/>
      <c r="E765" s="11"/>
      <c r="F765" s="11"/>
      <c r="G765" s="12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2">
      <c r="A766" s="11"/>
      <c r="B766" s="11"/>
      <c r="C766" s="11"/>
      <c r="D766" s="11"/>
      <c r="E766" s="11"/>
      <c r="F766" s="11"/>
      <c r="G766" s="12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2">
      <c r="A767" s="11"/>
      <c r="B767" s="11"/>
      <c r="C767" s="11"/>
      <c r="D767" s="11"/>
      <c r="E767" s="11"/>
      <c r="F767" s="11"/>
      <c r="G767" s="12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2">
      <c r="A768" s="11"/>
      <c r="B768" s="11"/>
      <c r="C768" s="11"/>
      <c r="D768" s="11"/>
      <c r="E768" s="11"/>
      <c r="F768" s="11"/>
      <c r="G768" s="12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2">
      <c r="A769" s="11"/>
      <c r="B769" s="11"/>
      <c r="C769" s="11"/>
      <c r="D769" s="11"/>
      <c r="E769" s="11"/>
      <c r="F769" s="11"/>
      <c r="G769" s="12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2">
      <c r="A770" s="11"/>
      <c r="B770" s="11"/>
      <c r="C770" s="11"/>
      <c r="D770" s="11"/>
      <c r="E770" s="11"/>
      <c r="F770" s="11"/>
      <c r="G770" s="12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2">
      <c r="A771" s="11"/>
      <c r="B771" s="11"/>
      <c r="C771" s="11"/>
      <c r="D771" s="11"/>
      <c r="E771" s="11"/>
      <c r="F771" s="11"/>
      <c r="G771" s="12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2">
      <c r="A772" s="11"/>
      <c r="B772" s="11"/>
      <c r="C772" s="11"/>
      <c r="D772" s="11"/>
      <c r="E772" s="11"/>
      <c r="F772" s="11"/>
      <c r="G772" s="12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2">
      <c r="A773" s="11"/>
      <c r="B773" s="11"/>
      <c r="C773" s="11"/>
      <c r="D773" s="11"/>
      <c r="E773" s="11"/>
      <c r="F773" s="11"/>
      <c r="G773" s="12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2">
      <c r="A774" s="11"/>
      <c r="B774" s="11"/>
      <c r="C774" s="11"/>
      <c r="D774" s="11"/>
      <c r="E774" s="11"/>
      <c r="F774" s="11"/>
      <c r="G774" s="12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2">
      <c r="A775" s="11"/>
      <c r="B775" s="11"/>
      <c r="C775" s="11"/>
      <c r="D775" s="11"/>
      <c r="E775" s="11"/>
      <c r="F775" s="11"/>
      <c r="G775" s="12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2">
      <c r="A776" s="11"/>
      <c r="B776" s="11"/>
      <c r="C776" s="11"/>
      <c r="D776" s="11"/>
      <c r="E776" s="11"/>
      <c r="F776" s="11"/>
      <c r="G776" s="12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2">
      <c r="A777" s="11"/>
      <c r="B777" s="11"/>
      <c r="C777" s="11"/>
      <c r="D777" s="11"/>
      <c r="E777" s="11"/>
      <c r="F777" s="11"/>
      <c r="G777" s="12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2">
      <c r="A778" s="11"/>
      <c r="B778" s="11"/>
      <c r="C778" s="11"/>
      <c r="D778" s="11"/>
      <c r="E778" s="11"/>
      <c r="F778" s="11"/>
      <c r="G778" s="12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2">
      <c r="A779" s="11"/>
      <c r="B779" s="11"/>
      <c r="C779" s="11"/>
      <c r="D779" s="11"/>
      <c r="E779" s="11"/>
      <c r="F779" s="11"/>
      <c r="G779" s="12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2">
      <c r="A780" s="11"/>
      <c r="B780" s="11"/>
      <c r="C780" s="11"/>
      <c r="D780" s="11"/>
      <c r="E780" s="11"/>
      <c r="F780" s="11"/>
      <c r="G780" s="12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2">
      <c r="A781" s="11"/>
      <c r="B781" s="11"/>
      <c r="C781" s="11"/>
      <c r="D781" s="11"/>
      <c r="E781" s="11"/>
      <c r="F781" s="11"/>
      <c r="G781" s="12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2">
      <c r="A782" s="11"/>
      <c r="B782" s="11"/>
      <c r="C782" s="11"/>
      <c r="D782" s="11"/>
      <c r="E782" s="11"/>
      <c r="F782" s="11"/>
      <c r="G782" s="12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2">
      <c r="A783" s="11"/>
      <c r="B783" s="11"/>
      <c r="C783" s="11"/>
      <c r="D783" s="11"/>
      <c r="E783" s="11"/>
      <c r="F783" s="11"/>
      <c r="G783" s="12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2">
      <c r="A784" s="11"/>
      <c r="B784" s="11"/>
      <c r="C784" s="11"/>
      <c r="D784" s="11"/>
      <c r="E784" s="11"/>
      <c r="F784" s="11"/>
      <c r="G784" s="12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2">
      <c r="A785" s="11"/>
      <c r="B785" s="11"/>
      <c r="C785" s="11"/>
      <c r="D785" s="11"/>
      <c r="E785" s="11"/>
      <c r="F785" s="11"/>
      <c r="G785" s="12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2">
      <c r="A786" s="11"/>
      <c r="B786" s="11"/>
      <c r="C786" s="11"/>
      <c r="D786" s="11"/>
      <c r="E786" s="11"/>
      <c r="F786" s="11"/>
      <c r="G786" s="12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2">
      <c r="A787" s="11"/>
      <c r="B787" s="11"/>
      <c r="C787" s="11"/>
      <c r="D787" s="11"/>
      <c r="E787" s="11"/>
      <c r="F787" s="11"/>
      <c r="G787" s="12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2">
      <c r="A788" s="11"/>
      <c r="B788" s="11"/>
      <c r="C788" s="11"/>
      <c r="D788" s="11"/>
      <c r="E788" s="11"/>
      <c r="F788" s="11"/>
      <c r="G788" s="12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2">
      <c r="A789" s="11"/>
      <c r="B789" s="11"/>
      <c r="C789" s="11"/>
      <c r="D789" s="11"/>
      <c r="E789" s="11"/>
      <c r="F789" s="11"/>
      <c r="G789" s="12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</sheetData>
  <autoFilter ref="A1:AB1" xr:uid="{00000000-0001-0000-0000-000000000000}">
    <sortState xmlns:xlrd2="http://schemas.microsoft.com/office/spreadsheetml/2017/richdata2" ref="A2:AB33">
      <sortCondition ref="AA1"/>
    </sortState>
  </autoFilter>
  <conditionalFormatting sqref="C1:C1048576">
    <cfRule type="duplicateValues" dxfId="0" priority="1"/>
  </conditionalFormatting>
  <hyperlinks>
    <hyperlink ref="H3" r:id="rId1" xr:uid="{66AB0C79-4538-45AD-84E4-491A0685C512}"/>
    <hyperlink ref="I3" r:id="rId2" xr:uid="{34ADFDBC-7A74-4237-8420-A0ED667803CC}"/>
    <hyperlink ref="V3" r:id="rId3" xr:uid="{638D733F-20AF-4B80-B541-7493985F1D67}"/>
    <hyperlink ref="H2" r:id="rId4" xr:uid="{57AD3D18-6818-4519-B6A9-95FC59B756AB}"/>
    <hyperlink ref="I2" r:id="rId5" xr:uid="{7A17E2C1-11A3-44B0-9D06-43471D5F050E}"/>
    <hyperlink ref="V2" r:id="rId6" xr:uid="{D7364E27-351A-4735-988E-2A6FEAD10339}"/>
    <hyperlink ref="H15" r:id="rId7" xr:uid="{8B2103E3-8730-4900-95D1-CA0F95D4F13E}"/>
    <hyperlink ref="I15" r:id="rId8" xr:uid="{545C6958-05C1-42F3-B092-0AC2746C1899}"/>
    <hyperlink ref="H18" r:id="rId9" xr:uid="{F9D1609B-0B20-4818-A604-81D5D20A706B}"/>
    <hyperlink ref="I18" r:id="rId10" xr:uid="{B023965B-2578-4B6B-BD2D-679331DB6B5D}"/>
    <hyperlink ref="V18" r:id="rId11" xr:uid="{D1F9D2ED-2182-419F-B2F9-F04306689262}"/>
    <hyperlink ref="W18" r:id="rId12" xr:uid="{6840B764-3143-4ED7-BBAD-6689A2B58561}"/>
    <hyperlink ref="H17" r:id="rId13" xr:uid="{BAC99D0A-91D4-49C4-910C-9BA9B36DF74B}"/>
    <hyperlink ref="I17" r:id="rId14" xr:uid="{1D028F9A-45AC-4A26-8A23-A75175EFC879}"/>
    <hyperlink ref="V17" r:id="rId15" xr:uid="{FA941A24-79EF-4C45-8C7A-956A2F924267}"/>
    <hyperlink ref="H16" r:id="rId16" xr:uid="{160F6388-E36B-4F21-A6BF-3E8311BBD59F}"/>
    <hyperlink ref="I16" r:id="rId17" xr:uid="{3B2E0692-F3B9-45D8-BCA0-BC3CC5884E97}"/>
    <hyperlink ref="V16" r:id="rId18" xr:uid="{8F40A978-207A-479D-97D4-200CFABFC379}"/>
    <hyperlink ref="W16" r:id="rId19" xr:uid="{2C44CB0D-471D-4A35-8D6D-645DC304B7B3}"/>
    <hyperlink ref="I21" r:id="rId20" xr:uid="{A7C8D49F-E364-4E69-85CD-8CD789B99AE6}"/>
    <hyperlink ref="V21" r:id="rId21" xr:uid="{BE3B96ED-F0D8-4B32-931F-027D4719F661}"/>
    <hyperlink ref="I20" r:id="rId22" xr:uid="{4E1F0C7A-8A69-41DA-93B2-59876DE66171}"/>
    <hyperlink ref="V20" r:id="rId23" xr:uid="{90C8FA6D-A07D-4FC4-833B-5FB692576217}"/>
    <hyperlink ref="I19" r:id="rId24" xr:uid="{20756233-3821-4D33-A366-07313172FE5E}"/>
    <hyperlink ref="V19" r:id="rId25" xr:uid="{7DB2C977-4940-4B5B-9D96-5D9E6D1BD3DA}"/>
    <hyperlink ref="H22" r:id="rId26" xr:uid="{E18B9888-FD60-40C7-9FA4-E094D3DF7824}"/>
    <hyperlink ref="I22" r:id="rId27" xr:uid="{F1C59560-8114-4C32-B325-A5158CDCBAEE}"/>
    <hyperlink ref="V22" r:id="rId28" xr:uid="{B8E25860-036D-4A0A-B2F9-2688EFBF5F38}"/>
    <hyperlink ref="H24" r:id="rId29" xr:uid="{5DB46910-E4CB-418E-BE4E-36647B995562}"/>
    <hyperlink ref="V24" r:id="rId30" xr:uid="{345D0F7B-F823-41ED-9B9C-0D8FCF427CAF}"/>
    <hyperlink ref="H23" r:id="rId31" xr:uid="{220903DB-9DE0-4571-AB01-F85FCF710AEA}"/>
    <hyperlink ref="V23" r:id="rId32" xr:uid="{1EAC26A2-0E26-4246-8329-46C79D1CCDF4}"/>
    <hyperlink ref="H27" r:id="rId33" xr:uid="{232CF5CB-FCAE-473F-88E7-21197ACCC975}"/>
    <hyperlink ref="I27" r:id="rId34" xr:uid="{440C30AE-7FB3-4A45-99B4-91EF3A051FDD}"/>
    <hyperlink ref="V27" r:id="rId35" xr:uid="{B8828E49-4CC3-48E9-8D65-995D52FE4AEC}"/>
    <hyperlink ref="W27" r:id="rId36" xr:uid="{FF413391-D85F-4360-95F4-6FEC386B2FF9}"/>
    <hyperlink ref="H28" r:id="rId37" xr:uid="{A03234B9-FF69-42A3-A37D-4D03A9B3FFDB}"/>
    <hyperlink ref="I28" r:id="rId38" xr:uid="{6C22B11C-78FE-4693-B9CA-02DF6E5E42A1}"/>
    <hyperlink ref="H29" r:id="rId39" xr:uid="{ACDD33AD-39FC-44B3-8A47-E8555D0C7679}"/>
    <hyperlink ref="I29" r:id="rId40" xr:uid="{449EEAF7-8671-49B8-98A1-B7863B16AED0}"/>
    <hyperlink ref="H31" r:id="rId41" xr:uid="{8AE15F3A-9944-49E3-9802-5637E14B1201}"/>
    <hyperlink ref="I31" r:id="rId42" xr:uid="{221CE16E-AD78-423F-9990-9A46834A54F5}"/>
    <hyperlink ref="V31" r:id="rId43" xr:uid="{F8A6830D-53CF-4DB9-AC3F-0D84ECE5995B}"/>
    <hyperlink ref="H30" r:id="rId44" xr:uid="{8F357277-BF1F-479B-9CFF-E97E715A8CC8}"/>
    <hyperlink ref="I30" r:id="rId45" xr:uid="{DA7A7A3D-27EF-495D-983B-D596A88993E7}"/>
    <hyperlink ref="V30" r:id="rId46" xr:uid="{87B8FB70-D513-422F-9C2A-D6F8431D97E9}"/>
    <hyperlink ref="H32" r:id="rId47" xr:uid="{DF04B571-3EBC-4376-AC2E-7EE161B5462F}"/>
    <hyperlink ref="I32" r:id="rId48" xr:uid="{171E94F3-D60A-48CE-9237-93696F15CFB6}"/>
    <hyperlink ref="V32" r:id="rId49" xr:uid="{550E7B86-176A-478A-AC9B-8B7A8E44E270}"/>
    <hyperlink ref="H33" r:id="rId50" xr:uid="{FAF4C725-7690-43D3-B8CC-34467E169148}"/>
    <hyperlink ref="I33" r:id="rId51" xr:uid="{598806B8-67E8-4B7B-B0C4-8C12586CDDAE}"/>
    <hyperlink ref="V33" r:id="rId52" xr:uid="{E3E9EA33-D8E8-4AE4-8B9E-7FB647A9FA6D}"/>
    <hyperlink ref="H25" r:id="rId53" xr:uid="{5BFD0F90-795F-4B65-821D-ED593A86DC3C}"/>
    <hyperlink ref="I25" r:id="rId54" xr:uid="{88047071-5D5E-4AA6-8BB9-CAE653C4F75C}"/>
    <hyperlink ref="V25" r:id="rId55" xr:uid="{FE20F880-C5AC-47B7-9BA4-B4D9D1481466}"/>
    <hyperlink ref="W25" r:id="rId56" xr:uid="{7B2CF236-2C64-4671-AAE9-0ED3FE691B05}"/>
    <hyperlink ref="H26" r:id="rId57" xr:uid="{47E1A503-1517-44D2-BBF3-04BF0429E528}"/>
    <hyperlink ref="I26" r:id="rId58" xr:uid="{70D1CEF9-5AED-4E72-9ED6-771740807A17}"/>
    <hyperlink ref="V26" r:id="rId59" xr:uid="{B2BB6D0A-4C0C-4037-AA48-F0DE4B1211B7}"/>
    <hyperlink ref="W26" r:id="rId60" xr:uid="{C701436A-93D8-497A-8911-07BA8D8EAF4F}"/>
    <hyperlink ref="H7" r:id="rId61" xr:uid="{D5C1F276-87D1-4905-A283-A23F2A0912C8}"/>
    <hyperlink ref="I7" r:id="rId62" xr:uid="{97EEDE9B-767D-46A4-AF94-5B233885D504}"/>
    <hyperlink ref="H8" r:id="rId63" xr:uid="{0B02B538-CF19-4C6E-A068-23B8D1F27C3B}"/>
    <hyperlink ref="I8" r:id="rId64" xr:uid="{AE5C66AC-9CD9-4F46-A0C0-E1B76E67BEA1}"/>
    <hyperlink ref="H10" r:id="rId65" xr:uid="{46480909-2D78-434E-93C3-D701985E20A2}"/>
    <hyperlink ref="W10" r:id="rId66" xr:uid="{981641E4-EF2C-4BA3-9492-7552C1EFE3A0}"/>
    <hyperlink ref="H9" r:id="rId67" xr:uid="{124C32DD-6682-4ED4-8FA9-1579016E48B5}"/>
    <hyperlink ref="W9" r:id="rId68" xr:uid="{9420CD26-46E6-42AE-B208-F38A3924CC5F}"/>
    <hyperlink ref="H11" r:id="rId69" xr:uid="{03867170-44BB-49B7-9685-E5E6AC06F301}"/>
    <hyperlink ref="I11" r:id="rId70" xr:uid="{A7704F0A-D69F-4E49-BCC9-83D4C7F906B6}"/>
    <hyperlink ref="H12" r:id="rId71" xr:uid="{3CC59821-E78E-4FBB-BE21-CECBBA002E4D}"/>
    <hyperlink ref="I12" r:id="rId72" xr:uid="{1DD6E778-9EDC-44EE-97F4-7E94E9FE28AA}"/>
    <hyperlink ref="H14" r:id="rId73" xr:uid="{0FDEBA9C-DBC4-4A3B-B39E-F3289E38EBDE}"/>
    <hyperlink ref="I14" r:id="rId74" xr:uid="{173F20A3-77F7-421E-9D44-B5D610035CF6}"/>
    <hyperlink ref="H13" r:id="rId75" xr:uid="{531C7BA3-82AF-423B-BD11-EA25B1A818A3}"/>
    <hyperlink ref="I13" r:id="rId76" xr:uid="{E1664F24-4A47-47B7-A21E-2F8CBF7E9316}"/>
    <hyperlink ref="H4" r:id="rId77" xr:uid="{51E1ED8B-D728-40D7-ACCB-A9FDAA34D3F3}"/>
    <hyperlink ref="I4" r:id="rId78" xr:uid="{3B75E1EA-0B09-4E15-A815-2848D80B550F}"/>
    <hyperlink ref="H5" r:id="rId79" xr:uid="{3F761F35-2D5A-41BC-BCDE-FE7ED9BB4360}"/>
    <hyperlink ref="I5" r:id="rId80" xr:uid="{22C40B86-D30B-4742-9607-C3FA5D636ACE}"/>
    <hyperlink ref="H6" r:id="rId81" xr:uid="{917C7812-BF8B-409C-80D7-59955F49CA55}"/>
    <hyperlink ref="I6" r:id="rId82" xr:uid="{875FA637-58F9-4B03-AB4D-08AF71B04D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789"/>
  <sheetViews>
    <sheetView workbookViewId="0">
      <selection activeCell="G10" sqref="G10"/>
    </sheetView>
  </sheetViews>
  <sheetFormatPr defaultColWidth="12.5703125" defaultRowHeight="15.75" customHeight="1" x14ac:dyDescent="0.2"/>
  <cols>
    <col min="1" max="1" width="9" customWidth="1"/>
    <col min="2" max="2" width="10" bestFit="1" customWidth="1"/>
    <col min="3" max="3" width="51.140625" customWidth="1"/>
    <col min="4" max="4" width="23.42578125" customWidth="1"/>
    <col min="5" max="5" width="22.42578125" customWidth="1"/>
    <col min="6" max="6" width="15.42578125" customWidth="1"/>
    <col min="7" max="7" width="25.42578125" customWidth="1"/>
    <col min="8" max="8" width="28.5703125" customWidth="1"/>
    <col min="9" max="9" width="31.42578125" customWidth="1"/>
    <col min="27" max="27" width="89" bestFit="1" customWidth="1"/>
  </cols>
  <sheetData>
    <row r="1" spans="1:2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296</v>
      </c>
      <c r="AB1" s="14" t="s">
        <v>315</v>
      </c>
      <c r="AC1" s="2" t="s">
        <v>316</v>
      </c>
    </row>
    <row r="2" spans="1:29" x14ac:dyDescent="0.2">
      <c r="A2" s="4" t="e">
        <f ca="1">HYPERLINK(I2,_xludf.IMAGE(I2))</f>
        <v>#VALUE!</v>
      </c>
      <c r="B2" s="5">
        <v>100596554</v>
      </c>
      <c r="C2" s="5" t="s">
        <v>41</v>
      </c>
      <c r="D2" s="5" t="s">
        <v>27</v>
      </c>
      <c r="E2" s="5" t="s">
        <v>28</v>
      </c>
      <c r="F2" s="5" t="s">
        <v>28</v>
      </c>
      <c r="G2" s="6" t="s">
        <v>29</v>
      </c>
      <c r="H2" s="7" t="s">
        <v>42</v>
      </c>
      <c r="I2" s="8" t="s">
        <v>43</v>
      </c>
      <c r="J2" s="5" t="s">
        <v>32</v>
      </c>
      <c r="K2" s="5" t="s">
        <v>33</v>
      </c>
      <c r="L2" s="5" t="s">
        <v>34</v>
      </c>
      <c r="M2" s="5" t="s">
        <v>44</v>
      </c>
      <c r="N2" s="5"/>
      <c r="O2" s="5"/>
      <c r="P2" s="5"/>
      <c r="Q2" s="5"/>
      <c r="R2" s="5"/>
      <c r="S2" s="5" t="s">
        <v>36</v>
      </c>
      <c r="T2" s="5" t="s">
        <v>37</v>
      </c>
      <c r="U2" s="5" t="s">
        <v>45</v>
      </c>
      <c r="V2" s="7" t="s">
        <v>46</v>
      </c>
      <c r="W2" s="5"/>
      <c r="X2" s="5"/>
      <c r="Y2" s="5" t="s">
        <v>40</v>
      </c>
      <c r="Z2" s="9">
        <v>45545</v>
      </c>
      <c r="AA2" t="str">
        <f t="shared" ref="AA2:AA33" si="0">D2 &amp;" | "&amp; G2</f>
        <v>111 Navy Chair | 34" H 15½" W 19½" D</v>
      </c>
      <c r="AB2" s="13" t="s">
        <v>297</v>
      </c>
      <c r="AC2" t="str">
        <f>_xlfn.TEXTJOIN(", ",TRUE,
IF(J2&lt;&gt;"",""&amp;J2&amp;" = "&amp;K2,""),
IF(L2&lt;&gt;"",""&amp;L2&amp;" = "&amp;M2,""),
IF(N2&lt;&gt;"",""&amp;N2&amp;" = "&amp;O2,""),
IF(P2&lt;&gt;"",""&amp;P2&amp;" = "&amp;Q2,"")
)</f>
        <v>Configuration = Side Chair, Color = Cypress Green</v>
      </c>
    </row>
    <row r="3" spans="1:29" x14ac:dyDescent="0.2">
      <c r="A3" s="4" t="e">
        <f ca="1">HYPERLINK(I3,_xludf.IMAGE(I3))</f>
        <v>#VALUE!</v>
      </c>
      <c r="B3" s="5">
        <v>100596557</v>
      </c>
      <c r="C3" s="5" t="s">
        <v>26</v>
      </c>
      <c r="D3" s="5" t="s">
        <v>27</v>
      </c>
      <c r="E3" s="5" t="s">
        <v>28</v>
      </c>
      <c r="F3" s="5" t="s">
        <v>28</v>
      </c>
      <c r="G3" s="6" t="s">
        <v>29</v>
      </c>
      <c r="H3" s="7" t="s">
        <v>30</v>
      </c>
      <c r="I3" s="8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/>
      <c r="O3" s="5"/>
      <c r="P3" s="5"/>
      <c r="Q3" s="5"/>
      <c r="R3" s="5"/>
      <c r="S3" s="5" t="s">
        <v>36</v>
      </c>
      <c r="T3" s="5" t="s">
        <v>37</v>
      </c>
      <c r="U3" s="5" t="s">
        <v>38</v>
      </c>
      <c r="V3" s="7" t="s">
        <v>39</v>
      </c>
      <c r="W3" s="5"/>
      <c r="X3" s="5"/>
      <c r="Y3" s="5" t="s">
        <v>40</v>
      </c>
      <c r="Z3" s="9">
        <v>45545</v>
      </c>
      <c r="AA3" t="str">
        <f t="shared" si="0"/>
        <v>111 Navy Chair | 34" H 15½" W 19½" D</v>
      </c>
      <c r="AB3" s="13" t="s">
        <v>297</v>
      </c>
      <c r="AC3" t="str">
        <f t="shared" ref="AC3:AC33" si="1">_xlfn.TEXTJOIN(", ",TRUE,
IF(J3&lt;&gt;"",""&amp;J3&amp;" = "&amp;K3,""),
IF(L3&lt;&gt;"",""&amp;L3&amp;" = "&amp;M3,""),
IF(N3&lt;&gt;"",""&amp;N3&amp;" = "&amp;O3,""),
IF(P3&lt;&gt;"",""&amp;P3&amp;" = "&amp;Q3,"")
)</f>
        <v>Configuration = Side Chair, Color = Bordeaux</v>
      </c>
    </row>
    <row r="4" spans="1:29" x14ac:dyDescent="0.2">
      <c r="A4" s="4" t="e">
        <f ca="1">HYPERLINK(I4,_xludf.IMAGE(I4))</f>
        <v>#VALUE!</v>
      </c>
      <c r="B4" s="5">
        <v>100656809</v>
      </c>
      <c r="C4" s="5" t="s">
        <v>273</v>
      </c>
      <c r="D4" s="5" t="s">
        <v>274</v>
      </c>
      <c r="E4" s="5" t="s">
        <v>86</v>
      </c>
      <c r="F4" s="5" t="s">
        <v>275</v>
      </c>
      <c r="G4" s="6" t="s">
        <v>276</v>
      </c>
      <c r="H4" s="7" t="s">
        <v>277</v>
      </c>
      <c r="I4" s="8" t="s">
        <v>278</v>
      </c>
      <c r="J4" s="5" t="s">
        <v>279</v>
      </c>
      <c r="K4" s="5" t="s">
        <v>193</v>
      </c>
      <c r="L4" s="5" t="s">
        <v>217</v>
      </c>
      <c r="M4" s="5" t="s">
        <v>280</v>
      </c>
      <c r="N4" s="5" t="s">
        <v>34</v>
      </c>
      <c r="O4" s="5" t="s">
        <v>281</v>
      </c>
      <c r="P4" s="5"/>
      <c r="Q4" s="5"/>
      <c r="R4" s="5"/>
      <c r="S4" s="5" t="s">
        <v>282</v>
      </c>
      <c r="T4" s="5" t="s">
        <v>283</v>
      </c>
      <c r="U4" s="5" t="s">
        <v>284</v>
      </c>
      <c r="V4" s="5"/>
      <c r="W4" s="5"/>
      <c r="X4" s="5"/>
      <c r="Y4" s="5" t="s">
        <v>148</v>
      </c>
      <c r="Z4" s="10">
        <v>45776</v>
      </c>
      <c r="AA4" t="str">
        <f t="shared" si="0"/>
        <v>Blis Ottoman | 16⅝" H 22½" W 22½" D</v>
      </c>
      <c r="AB4" s="13" t="s">
        <v>298</v>
      </c>
      <c r="AC4" t="str">
        <f t="shared" si="1"/>
        <v>Frame Finish = Black, Upholstery = Oxbow, Color = Trope</v>
      </c>
    </row>
    <row r="5" spans="1:29" x14ac:dyDescent="0.2">
      <c r="A5" s="4" t="e">
        <f ca="1">HYPERLINK(I5,_xludf.IMAGE(I5))</f>
        <v>#VALUE!</v>
      </c>
      <c r="B5" s="5">
        <v>100656795</v>
      </c>
      <c r="C5" s="5" t="s">
        <v>285</v>
      </c>
      <c r="D5" s="5" t="s">
        <v>286</v>
      </c>
      <c r="E5" s="5" t="s">
        <v>86</v>
      </c>
      <c r="F5" s="5" t="s">
        <v>275</v>
      </c>
      <c r="G5" s="6" t="s">
        <v>287</v>
      </c>
      <c r="H5" s="7" t="s">
        <v>288</v>
      </c>
      <c r="I5" s="8" t="s">
        <v>289</v>
      </c>
      <c r="J5" s="5" t="s">
        <v>279</v>
      </c>
      <c r="K5" s="5" t="s">
        <v>193</v>
      </c>
      <c r="L5" s="5" t="s">
        <v>217</v>
      </c>
      <c r="M5" s="5" t="s">
        <v>280</v>
      </c>
      <c r="N5" s="5" t="s">
        <v>34</v>
      </c>
      <c r="O5" s="5" t="s">
        <v>281</v>
      </c>
      <c r="P5" s="5"/>
      <c r="Q5" s="5"/>
      <c r="R5" s="5"/>
      <c r="S5" s="5" t="s">
        <v>282</v>
      </c>
      <c r="T5" s="5" t="s">
        <v>221</v>
      </c>
      <c r="U5" s="5" t="s">
        <v>290</v>
      </c>
      <c r="V5" s="5"/>
      <c r="W5" s="5"/>
      <c r="X5" s="5"/>
      <c r="Y5" s="5" t="s">
        <v>148</v>
      </c>
      <c r="Z5" s="10">
        <v>45776</v>
      </c>
      <c r="AA5" t="str">
        <f t="shared" si="0"/>
        <v>Blis Swivel Chair | 34¼" H 30¾" W 30" D</v>
      </c>
      <c r="AB5" s="13" t="s">
        <v>299</v>
      </c>
      <c r="AC5" t="str">
        <f t="shared" si="1"/>
        <v>Frame Finish = Black, Upholstery = Oxbow, Color = Trope</v>
      </c>
    </row>
    <row r="6" spans="1:29" x14ac:dyDescent="0.2">
      <c r="A6" s="4" t="e">
        <f ca="1">HYPERLINK(I6,_xludf.IMAGE(I6))</f>
        <v>#NAME?</v>
      </c>
      <c r="B6" s="5">
        <v>100657244</v>
      </c>
      <c r="C6" s="5" t="s">
        <v>291</v>
      </c>
      <c r="D6" s="5" t="s">
        <v>292</v>
      </c>
      <c r="E6" s="5" t="s">
        <v>86</v>
      </c>
      <c r="F6" s="5" t="s">
        <v>275</v>
      </c>
      <c r="G6" s="6" t="s">
        <v>293</v>
      </c>
      <c r="H6" s="7" t="s">
        <v>294</v>
      </c>
      <c r="I6" s="8" t="s">
        <v>295</v>
      </c>
      <c r="J6" s="5" t="s">
        <v>279</v>
      </c>
      <c r="K6" s="5" t="s">
        <v>193</v>
      </c>
      <c r="L6" s="5" t="s">
        <v>217</v>
      </c>
      <c r="M6" s="5" t="s">
        <v>280</v>
      </c>
      <c r="N6" s="5" t="s">
        <v>34</v>
      </c>
      <c r="O6" s="5" t="s">
        <v>281</v>
      </c>
      <c r="P6" s="5"/>
      <c r="Q6" s="5"/>
      <c r="R6" s="5"/>
      <c r="S6" s="5" t="s">
        <v>282</v>
      </c>
      <c r="T6" s="5" t="s">
        <v>283</v>
      </c>
      <c r="U6" s="5"/>
      <c r="V6" s="5"/>
      <c r="W6" s="5"/>
      <c r="X6" s="5"/>
      <c r="Y6" s="5" t="s">
        <v>148</v>
      </c>
      <c r="Z6" s="10">
        <v>45776</v>
      </c>
      <c r="AA6" t="str">
        <f t="shared" si="0"/>
        <v>Blis Swivel Chair and Ottoman | Chair:34¼" H 30¾" W 30" D Chair:16⅝" H Chair:22½" W Chair:22½" D</v>
      </c>
      <c r="AB6" s="13" t="s">
        <v>300</v>
      </c>
      <c r="AC6" t="str">
        <f t="shared" si="1"/>
        <v>Frame Finish = Black, Upholstery = Oxbow, Color = Trope</v>
      </c>
    </row>
    <row r="7" spans="1:29" x14ac:dyDescent="0.2">
      <c r="A7" s="4" t="e">
        <f ca="1">HYPERLINK(I7,_xludf.IMAGE(I7))</f>
        <v>#NAME?</v>
      </c>
      <c r="B7" s="5">
        <v>100559774</v>
      </c>
      <c r="C7" s="5" t="s">
        <v>210</v>
      </c>
      <c r="D7" s="5" t="s">
        <v>211</v>
      </c>
      <c r="E7" s="5" t="s">
        <v>212</v>
      </c>
      <c r="F7" s="5" t="s">
        <v>213</v>
      </c>
      <c r="G7" s="6" t="s">
        <v>214</v>
      </c>
      <c r="H7" s="7" t="s">
        <v>215</v>
      </c>
      <c r="I7" s="8" t="s">
        <v>216</v>
      </c>
      <c r="J7" s="5" t="s">
        <v>217</v>
      </c>
      <c r="K7" s="5" t="s">
        <v>218</v>
      </c>
      <c r="L7" s="5" t="s">
        <v>34</v>
      </c>
      <c r="M7" s="5" t="s">
        <v>219</v>
      </c>
      <c r="N7" s="5" t="s">
        <v>143</v>
      </c>
      <c r="O7" s="5" t="s">
        <v>114</v>
      </c>
      <c r="P7" s="5"/>
      <c r="Q7" s="5"/>
      <c r="R7" s="5"/>
      <c r="S7" s="5" t="s">
        <v>220</v>
      </c>
      <c r="T7" s="5" t="s">
        <v>221</v>
      </c>
      <c r="U7" s="5" t="s">
        <v>222</v>
      </c>
      <c r="V7" s="5" t="s">
        <v>223</v>
      </c>
      <c r="W7" s="5" t="s">
        <v>224</v>
      </c>
      <c r="X7" s="5" t="s">
        <v>225</v>
      </c>
      <c r="Y7" s="5" t="s">
        <v>148</v>
      </c>
      <c r="Z7" s="9">
        <v>45419</v>
      </c>
      <c r="AA7" t="str">
        <f t="shared" si="0"/>
        <v>Cube Armchair | 27" H 33½" W 31½" D</v>
      </c>
      <c r="AB7" s="13" t="s">
        <v>301</v>
      </c>
      <c r="AC7" t="str">
        <f t="shared" si="1"/>
        <v>Upholstery = Beck, Color = Retrospect, Leg = Oak</v>
      </c>
    </row>
    <row r="8" spans="1:29" x14ac:dyDescent="0.2">
      <c r="A8" s="4" t="e">
        <f ca="1">HYPERLINK(I8,_xludf.IMAGE(I8))</f>
        <v>#NAME?</v>
      </c>
      <c r="B8" s="5">
        <v>100559775</v>
      </c>
      <c r="C8" s="5" t="s">
        <v>226</v>
      </c>
      <c r="D8" s="5" t="s">
        <v>211</v>
      </c>
      <c r="E8" s="5" t="s">
        <v>212</v>
      </c>
      <c r="F8" s="5" t="s">
        <v>213</v>
      </c>
      <c r="G8" s="6" t="s">
        <v>214</v>
      </c>
      <c r="H8" s="7" t="s">
        <v>227</v>
      </c>
      <c r="I8" s="8" t="s">
        <v>228</v>
      </c>
      <c r="J8" s="5" t="s">
        <v>217</v>
      </c>
      <c r="K8" s="5" t="s">
        <v>218</v>
      </c>
      <c r="L8" s="5" t="s">
        <v>34</v>
      </c>
      <c r="M8" s="5" t="s">
        <v>219</v>
      </c>
      <c r="N8" s="5" t="s">
        <v>143</v>
      </c>
      <c r="O8" s="5" t="s">
        <v>120</v>
      </c>
      <c r="P8" s="5"/>
      <c r="Q8" s="5"/>
      <c r="R8" s="5"/>
      <c r="S8" s="5" t="s">
        <v>220</v>
      </c>
      <c r="T8" s="5" t="s">
        <v>221</v>
      </c>
      <c r="U8" s="5" t="s">
        <v>229</v>
      </c>
      <c r="V8" s="5" t="s">
        <v>230</v>
      </c>
      <c r="W8" s="5" t="s">
        <v>231</v>
      </c>
      <c r="X8" s="5" t="s">
        <v>232</v>
      </c>
      <c r="Y8" s="5" t="s">
        <v>148</v>
      </c>
      <c r="Z8" s="9">
        <v>45419</v>
      </c>
      <c r="AA8" t="str">
        <f t="shared" si="0"/>
        <v>Cube Armchair | 27" H 33½" W 31½" D</v>
      </c>
      <c r="AB8" s="13" t="s">
        <v>301</v>
      </c>
      <c r="AC8" t="str">
        <f t="shared" si="1"/>
        <v>Upholstery = Beck, Color = Retrospect, Leg = Walnut</v>
      </c>
    </row>
    <row r="9" spans="1:29" x14ac:dyDescent="0.2">
      <c r="A9" s="4" t="e">
        <f ca="1">HYPERLINK(I9,_xludf.IMAGE(I9))</f>
        <v>#VALUE!</v>
      </c>
      <c r="B9" s="5">
        <v>100661719</v>
      </c>
      <c r="C9" s="5" t="s">
        <v>241</v>
      </c>
      <c r="D9" s="5" t="s">
        <v>211</v>
      </c>
      <c r="E9" s="5" t="s">
        <v>212</v>
      </c>
      <c r="F9" s="5" t="s">
        <v>213</v>
      </c>
      <c r="G9" s="6" t="s">
        <v>214</v>
      </c>
      <c r="H9" s="7" t="s">
        <v>242</v>
      </c>
      <c r="I9" s="5" t="s">
        <v>243</v>
      </c>
      <c r="J9" s="5" t="s">
        <v>217</v>
      </c>
      <c r="K9" s="5" t="s">
        <v>236</v>
      </c>
      <c r="L9" s="5" t="s">
        <v>34</v>
      </c>
      <c r="M9" s="5" t="s">
        <v>237</v>
      </c>
      <c r="N9" s="5" t="s">
        <v>143</v>
      </c>
      <c r="O9" s="5" t="s">
        <v>120</v>
      </c>
      <c r="P9" s="5"/>
      <c r="Q9" s="5"/>
      <c r="R9" s="5"/>
      <c r="S9" s="5" t="s">
        <v>220</v>
      </c>
      <c r="T9" s="5" t="s">
        <v>221</v>
      </c>
      <c r="U9" s="5" t="s">
        <v>241</v>
      </c>
      <c r="V9" s="5" t="s">
        <v>244</v>
      </c>
      <c r="W9" s="7" t="s">
        <v>245</v>
      </c>
      <c r="X9" s="5" t="s">
        <v>246</v>
      </c>
      <c r="Y9" s="5" t="s">
        <v>148</v>
      </c>
      <c r="Z9" s="10">
        <v>45768</v>
      </c>
      <c r="AA9" t="str">
        <f t="shared" si="0"/>
        <v>Cube Armchair | 27" H 33½" W 31½" D</v>
      </c>
      <c r="AB9" s="13" t="s">
        <v>301</v>
      </c>
      <c r="AC9" t="str">
        <f t="shared" si="1"/>
        <v>Upholstery = Epingle Stripe, Color = Caramel, Leg = Walnut</v>
      </c>
    </row>
    <row r="10" spans="1:29" x14ac:dyDescent="0.2">
      <c r="A10" s="4" t="e">
        <f ca="1">HYPERLINK(I10,_xludf.IMAGE(I10))</f>
        <v>#VALUE!</v>
      </c>
      <c r="B10" s="5">
        <v>100673417</v>
      </c>
      <c r="C10" s="5" t="s">
        <v>233</v>
      </c>
      <c r="D10" s="5" t="s">
        <v>211</v>
      </c>
      <c r="E10" s="5" t="s">
        <v>212</v>
      </c>
      <c r="F10" s="5" t="s">
        <v>213</v>
      </c>
      <c r="G10" s="6" t="s">
        <v>214</v>
      </c>
      <c r="H10" s="7" t="s">
        <v>234</v>
      </c>
      <c r="I10" s="5" t="s">
        <v>235</v>
      </c>
      <c r="J10" s="5" t="s">
        <v>217</v>
      </c>
      <c r="K10" s="5" t="s">
        <v>236</v>
      </c>
      <c r="L10" s="5" t="s">
        <v>34</v>
      </c>
      <c r="M10" s="5" t="s">
        <v>237</v>
      </c>
      <c r="N10" s="5" t="s">
        <v>143</v>
      </c>
      <c r="O10" s="5" t="s">
        <v>114</v>
      </c>
      <c r="P10" s="5"/>
      <c r="Q10" s="5"/>
      <c r="R10" s="5"/>
      <c r="S10" s="5" t="s">
        <v>220</v>
      </c>
      <c r="T10" s="5" t="s">
        <v>221</v>
      </c>
      <c r="U10" s="5" t="s">
        <v>233</v>
      </c>
      <c r="V10" s="5" t="s">
        <v>238</v>
      </c>
      <c r="W10" s="7" t="s">
        <v>239</v>
      </c>
      <c r="X10" s="5" t="s">
        <v>240</v>
      </c>
      <c r="Y10" s="5" t="s">
        <v>148</v>
      </c>
      <c r="Z10" s="10">
        <v>45768</v>
      </c>
      <c r="AA10" t="str">
        <f t="shared" si="0"/>
        <v>Cube Armchair | 27" H 33½" W 31½" D</v>
      </c>
      <c r="AB10" s="13" t="s">
        <v>301</v>
      </c>
      <c r="AC10" t="str">
        <f t="shared" si="1"/>
        <v>Upholstery = Epingle Stripe, Color = Caramel, Leg = Oak</v>
      </c>
    </row>
    <row r="11" spans="1:29" x14ac:dyDescent="0.2">
      <c r="A11" s="4" t="e">
        <f ca="1">HYPERLINK(I11,_xludf.IMAGE(I11))</f>
        <v>#NAME?</v>
      </c>
      <c r="B11" s="5">
        <v>100559923</v>
      </c>
      <c r="C11" s="5" t="s">
        <v>247</v>
      </c>
      <c r="D11" s="5" t="s">
        <v>248</v>
      </c>
      <c r="E11" s="5" t="s">
        <v>212</v>
      </c>
      <c r="F11" s="5" t="s">
        <v>213</v>
      </c>
      <c r="G11" s="6" t="s">
        <v>249</v>
      </c>
      <c r="H11" s="7" t="s">
        <v>250</v>
      </c>
      <c r="I11" s="8" t="s">
        <v>251</v>
      </c>
      <c r="J11" s="5" t="s">
        <v>54</v>
      </c>
      <c r="K11" s="5" t="s">
        <v>252</v>
      </c>
      <c r="L11" s="5" t="s">
        <v>217</v>
      </c>
      <c r="M11" s="5" t="s">
        <v>218</v>
      </c>
      <c r="N11" s="5" t="s">
        <v>34</v>
      </c>
      <c r="O11" s="5" t="s">
        <v>219</v>
      </c>
      <c r="P11" s="5" t="s">
        <v>143</v>
      </c>
      <c r="Q11" s="5" t="s">
        <v>114</v>
      </c>
      <c r="R11" s="5"/>
      <c r="S11" s="5" t="s">
        <v>220</v>
      </c>
      <c r="T11" s="5" t="s">
        <v>253</v>
      </c>
      <c r="U11" s="5" t="s">
        <v>254</v>
      </c>
      <c r="V11" s="5" t="s">
        <v>223</v>
      </c>
      <c r="W11" s="5" t="s">
        <v>224</v>
      </c>
      <c r="X11" s="5" t="s">
        <v>225</v>
      </c>
      <c r="Y11" s="5" t="s">
        <v>148</v>
      </c>
      <c r="Z11" s="9">
        <v>45419</v>
      </c>
      <c r="AA11" t="str">
        <f t="shared" si="0"/>
        <v>Cube Sofa | 27" H 81½" W 31½" D</v>
      </c>
      <c r="AB11" s="13" t="s">
        <v>302</v>
      </c>
      <c r="AC11" t="str">
        <f t="shared" si="1"/>
        <v>Size = 80", Upholstery = Beck, Color = Retrospect, Leg = Oak</v>
      </c>
    </row>
    <row r="12" spans="1:29" x14ac:dyDescent="0.2">
      <c r="A12" s="4" t="e">
        <f ca="1">HYPERLINK(I12,_xludf.IMAGE(I12))</f>
        <v>#NAME?</v>
      </c>
      <c r="B12" s="5">
        <v>100559924</v>
      </c>
      <c r="C12" s="5" t="s">
        <v>255</v>
      </c>
      <c r="D12" s="5" t="s">
        <v>248</v>
      </c>
      <c r="E12" s="5" t="s">
        <v>212</v>
      </c>
      <c r="F12" s="5" t="s">
        <v>213</v>
      </c>
      <c r="G12" s="6" t="s">
        <v>249</v>
      </c>
      <c r="H12" s="7" t="s">
        <v>256</v>
      </c>
      <c r="I12" s="8" t="s">
        <v>257</v>
      </c>
      <c r="J12" s="5" t="s">
        <v>54</v>
      </c>
      <c r="K12" s="5" t="s">
        <v>252</v>
      </c>
      <c r="L12" s="5" t="s">
        <v>217</v>
      </c>
      <c r="M12" s="5" t="s">
        <v>218</v>
      </c>
      <c r="N12" s="5" t="s">
        <v>34</v>
      </c>
      <c r="O12" s="5" t="s">
        <v>219</v>
      </c>
      <c r="P12" s="5" t="s">
        <v>143</v>
      </c>
      <c r="Q12" s="5" t="s">
        <v>120</v>
      </c>
      <c r="R12" s="5"/>
      <c r="S12" s="5" t="s">
        <v>220</v>
      </c>
      <c r="T12" s="5" t="s">
        <v>253</v>
      </c>
      <c r="U12" s="5" t="s">
        <v>258</v>
      </c>
      <c r="V12" s="5" t="s">
        <v>230</v>
      </c>
      <c r="W12" s="5" t="s">
        <v>231</v>
      </c>
      <c r="X12" s="5" t="s">
        <v>232</v>
      </c>
      <c r="Y12" s="5" t="s">
        <v>148</v>
      </c>
      <c r="Z12" s="9">
        <v>45419</v>
      </c>
      <c r="AA12" t="str">
        <f t="shared" si="0"/>
        <v>Cube Sofa | 27" H 81½" W 31½" D</v>
      </c>
      <c r="AB12" s="13" t="s">
        <v>302</v>
      </c>
      <c r="AC12" t="str">
        <f t="shared" si="1"/>
        <v>Size = 80", Upholstery = Beck, Color = Retrospect, Leg = Walnut</v>
      </c>
    </row>
    <row r="13" spans="1:29" x14ac:dyDescent="0.2">
      <c r="A13" s="4" t="e">
        <f ca="1">HYPERLINK(I13,_xludf.IMAGE(I13))</f>
        <v>#NAME?</v>
      </c>
      <c r="B13" s="5">
        <v>100578777</v>
      </c>
      <c r="C13" s="5" t="s">
        <v>267</v>
      </c>
      <c r="D13" s="5" t="s">
        <v>248</v>
      </c>
      <c r="E13" s="5" t="s">
        <v>212</v>
      </c>
      <c r="F13" s="5" t="s">
        <v>213</v>
      </c>
      <c r="G13" s="6" t="s">
        <v>249</v>
      </c>
      <c r="H13" s="7" t="s">
        <v>268</v>
      </c>
      <c r="I13" s="8" t="s">
        <v>269</v>
      </c>
      <c r="J13" s="5" t="s">
        <v>54</v>
      </c>
      <c r="K13" s="5" t="s">
        <v>252</v>
      </c>
      <c r="L13" s="5" t="s">
        <v>217</v>
      </c>
      <c r="M13" s="5" t="s">
        <v>262</v>
      </c>
      <c r="N13" s="5" t="s">
        <v>34</v>
      </c>
      <c r="O13" s="5" t="s">
        <v>263</v>
      </c>
      <c r="P13" s="5" t="s">
        <v>143</v>
      </c>
      <c r="Q13" s="5" t="s">
        <v>120</v>
      </c>
      <c r="R13" s="5"/>
      <c r="S13" s="5" t="s">
        <v>220</v>
      </c>
      <c r="T13" s="5" t="s">
        <v>253</v>
      </c>
      <c r="U13" s="5" t="s">
        <v>270</v>
      </c>
      <c r="V13" s="5" t="s">
        <v>271</v>
      </c>
      <c r="W13" s="5" t="s">
        <v>271</v>
      </c>
      <c r="X13" s="5" t="s">
        <v>272</v>
      </c>
      <c r="Y13" s="5" t="s">
        <v>148</v>
      </c>
      <c r="Z13" s="10">
        <v>45496</v>
      </c>
      <c r="AA13" t="str">
        <f t="shared" si="0"/>
        <v>Cube Sofa | 27" H 81½" W 31½" D</v>
      </c>
      <c r="AB13" s="13" t="s">
        <v>302</v>
      </c>
      <c r="AC13" t="str">
        <f t="shared" si="1"/>
        <v>Size = 80", Upholstery = Toostripe, Color = Ochre Dark / Sienna, Leg = Walnut</v>
      </c>
    </row>
    <row r="14" spans="1:29" x14ac:dyDescent="0.2">
      <c r="A14" s="4" t="e">
        <f ca="1">HYPERLINK(I14,_xludf.IMAGE(I14))</f>
        <v>#VALUE!</v>
      </c>
      <c r="B14" s="5">
        <v>100578875</v>
      </c>
      <c r="C14" s="5" t="s">
        <v>259</v>
      </c>
      <c r="D14" s="5" t="s">
        <v>248</v>
      </c>
      <c r="E14" s="5" t="s">
        <v>212</v>
      </c>
      <c r="F14" s="5" t="s">
        <v>213</v>
      </c>
      <c r="G14" s="6" t="s">
        <v>249</v>
      </c>
      <c r="H14" s="7" t="s">
        <v>260</v>
      </c>
      <c r="I14" s="8" t="s">
        <v>261</v>
      </c>
      <c r="J14" s="5" t="s">
        <v>54</v>
      </c>
      <c r="K14" s="5" t="s">
        <v>252</v>
      </c>
      <c r="L14" s="5" t="s">
        <v>217</v>
      </c>
      <c r="M14" s="5" t="s">
        <v>262</v>
      </c>
      <c r="N14" s="5" t="s">
        <v>34</v>
      </c>
      <c r="O14" s="5" t="s">
        <v>263</v>
      </c>
      <c r="P14" s="5" t="s">
        <v>143</v>
      </c>
      <c r="Q14" s="5" t="s">
        <v>114</v>
      </c>
      <c r="R14" s="5"/>
      <c r="S14" s="5" t="s">
        <v>220</v>
      </c>
      <c r="T14" s="5" t="s">
        <v>253</v>
      </c>
      <c r="U14" s="5" t="s">
        <v>264</v>
      </c>
      <c r="V14" s="5" t="s">
        <v>265</v>
      </c>
      <c r="W14" s="5" t="s">
        <v>265</v>
      </c>
      <c r="X14" s="5" t="s">
        <v>266</v>
      </c>
      <c r="Y14" s="5" t="s">
        <v>148</v>
      </c>
      <c r="Z14" s="10">
        <v>45496</v>
      </c>
      <c r="AA14" t="str">
        <f t="shared" si="0"/>
        <v>Cube Sofa | 27" H 81½" W 31½" D</v>
      </c>
      <c r="AB14" s="13" t="s">
        <v>302</v>
      </c>
      <c r="AC14" t="str">
        <f t="shared" si="1"/>
        <v>Size = 80", Upholstery = Toostripe, Color = Ochre Dark / Sienna, Leg = Oak</v>
      </c>
    </row>
    <row r="15" spans="1:29" x14ac:dyDescent="0.2">
      <c r="A15" s="4" t="e">
        <f ca="1">HYPERLINK(I15,_xludf.IMAGE(I15))</f>
        <v>#NAME?</v>
      </c>
      <c r="B15" s="5">
        <v>655422</v>
      </c>
      <c r="C15" s="5" t="s">
        <v>47</v>
      </c>
      <c r="D15" s="5" t="s">
        <v>48</v>
      </c>
      <c r="E15" s="5" t="s">
        <v>49</v>
      </c>
      <c r="F15" s="5" t="s">
        <v>50</v>
      </c>
      <c r="G15" s="6" t="s">
        <v>51</v>
      </c>
      <c r="H15" s="7" t="s">
        <v>52</v>
      </c>
      <c r="I15" s="8" t="s">
        <v>53</v>
      </c>
      <c r="J15" s="5" t="s">
        <v>54</v>
      </c>
      <c r="K15" s="5" t="s">
        <v>55</v>
      </c>
      <c r="L15" s="5"/>
      <c r="M15" s="5"/>
      <c r="N15" s="5"/>
      <c r="O15" s="5"/>
      <c r="P15" s="5"/>
      <c r="Q15" s="5"/>
      <c r="R15" s="5"/>
      <c r="S15" s="5"/>
      <c r="T15" s="5" t="s">
        <v>56</v>
      </c>
      <c r="U15" s="5" t="s">
        <v>57</v>
      </c>
      <c r="V15" s="5"/>
      <c r="W15" s="5"/>
      <c r="X15" s="5"/>
      <c r="Y15" s="5" t="s">
        <v>58</v>
      </c>
      <c r="Z15" s="9">
        <v>40848</v>
      </c>
      <c r="AA15" t="str">
        <f t="shared" si="0"/>
        <v>Foldable Star Sculptures | 7" DIA</v>
      </c>
      <c r="AB15" s="13" t="s">
        <v>303</v>
      </c>
      <c r="AC15" t="str">
        <f t="shared" si="1"/>
        <v>Size = 7"</v>
      </c>
    </row>
    <row r="16" spans="1:29" x14ac:dyDescent="0.2">
      <c r="A16" s="4" t="e">
        <f ca="1">HYPERLINK(I16,_xludf.IMAGE(I16))</f>
        <v>#VALUE!</v>
      </c>
      <c r="B16" s="5">
        <v>100177257</v>
      </c>
      <c r="C16" s="5" t="s">
        <v>79</v>
      </c>
      <c r="D16" s="5" t="s">
        <v>60</v>
      </c>
      <c r="E16" s="5" t="s">
        <v>61</v>
      </c>
      <c r="F16" s="5" t="s">
        <v>62</v>
      </c>
      <c r="G16" s="6" t="s">
        <v>80</v>
      </c>
      <c r="H16" s="7" t="s">
        <v>81</v>
      </c>
      <c r="I16" s="8" t="s">
        <v>82</v>
      </c>
      <c r="J16" s="5" t="s">
        <v>54</v>
      </c>
      <c r="K16" s="5" t="s">
        <v>75</v>
      </c>
      <c r="L16" s="5" t="s">
        <v>34</v>
      </c>
      <c r="M16" s="5" t="s">
        <v>67</v>
      </c>
      <c r="N16" s="5"/>
      <c r="O16" s="5"/>
      <c r="P16" s="5"/>
      <c r="Q16" s="5"/>
      <c r="R16" s="5"/>
      <c r="S16" s="5"/>
      <c r="T16" s="5" t="s">
        <v>68</v>
      </c>
      <c r="U16" s="5" t="s">
        <v>83</v>
      </c>
      <c r="V16" s="7" t="s">
        <v>70</v>
      </c>
      <c r="W16" s="7" t="s">
        <v>70</v>
      </c>
      <c r="X16" s="5" t="s">
        <v>71</v>
      </c>
      <c r="Y16" s="5" t="s">
        <v>58</v>
      </c>
      <c r="Z16" s="10">
        <v>44223</v>
      </c>
      <c r="AA16" t="str">
        <f t="shared" si="0"/>
        <v>Kink Vase | 10⅜" H 10⅞" W 5" DIA</v>
      </c>
      <c r="AB16" s="13" t="s">
        <v>304</v>
      </c>
      <c r="AC16" t="str">
        <f t="shared" si="1"/>
        <v>Size = Standard, Color = Sand</v>
      </c>
    </row>
    <row r="17" spans="1:29" x14ac:dyDescent="0.2">
      <c r="A17" s="4" t="e">
        <f ca="1">HYPERLINK(I17,_xludf.IMAGE(I17))</f>
        <v>#NAME?</v>
      </c>
      <c r="B17" s="5">
        <v>100658328</v>
      </c>
      <c r="C17" s="5" t="s">
        <v>72</v>
      </c>
      <c r="D17" s="5" t="s">
        <v>60</v>
      </c>
      <c r="E17" s="5" t="s">
        <v>61</v>
      </c>
      <c r="F17" s="5" t="s">
        <v>62</v>
      </c>
      <c r="G17" s="6" t="s">
        <v>63</v>
      </c>
      <c r="H17" s="7" t="s">
        <v>73</v>
      </c>
      <c r="I17" s="8" t="s">
        <v>74</v>
      </c>
      <c r="J17" s="5" t="s">
        <v>54</v>
      </c>
      <c r="K17" s="5" t="s">
        <v>75</v>
      </c>
      <c r="L17" s="5" t="s">
        <v>34</v>
      </c>
      <c r="M17" s="5" t="s">
        <v>76</v>
      </c>
      <c r="N17" s="5"/>
      <c r="O17" s="5"/>
      <c r="P17" s="5"/>
      <c r="Q17" s="5"/>
      <c r="R17" s="5"/>
      <c r="S17" s="5"/>
      <c r="T17" s="5" t="s">
        <v>68</v>
      </c>
      <c r="U17" s="5" t="s">
        <v>77</v>
      </c>
      <c r="V17" s="7" t="s">
        <v>78</v>
      </c>
      <c r="W17" s="5"/>
      <c r="X17" s="5"/>
      <c r="Y17" s="5" t="s">
        <v>58</v>
      </c>
      <c r="Z17" s="10">
        <v>45713</v>
      </c>
      <c r="AA17" t="str">
        <f t="shared" si="0"/>
        <v>Kink Vase | 15⅜" H 15¾" W 7½" DIA</v>
      </c>
      <c r="AB17" s="13" t="s">
        <v>305</v>
      </c>
      <c r="AC17" t="str">
        <f t="shared" si="1"/>
        <v>Size = Standard, Color = Deep Red</v>
      </c>
    </row>
    <row r="18" spans="1:29" x14ac:dyDescent="0.2">
      <c r="A18" s="4" t="e">
        <f ca="1">HYPERLINK(I18,_xludf.IMAGE(I18))</f>
        <v>#VALUE!</v>
      </c>
      <c r="B18" s="5">
        <v>100658330</v>
      </c>
      <c r="C18" s="5" t="s">
        <v>59</v>
      </c>
      <c r="D18" s="5" t="s">
        <v>60</v>
      </c>
      <c r="E18" s="5" t="s">
        <v>61</v>
      </c>
      <c r="F18" s="5" t="s">
        <v>62</v>
      </c>
      <c r="G18" s="6" t="s">
        <v>63</v>
      </c>
      <c r="H18" s="7" t="s">
        <v>64</v>
      </c>
      <c r="I18" s="8" t="s">
        <v>65</v>
      </c>
      <c r="J18" s="5" t="s">
        <v>54</v>
      </c>
      <c r="K18" s="5" t="s">
        <v>66</v>
      </c>
      <c r="L18" s="5" t="s">
        <v>34</v>
      </c>
      <c r="M18" s="5" t="s">
        <v>67</v>
      </c>
      <c r="N18" s="5"/>
      <c r="O18" s="5"/>
      <c r="P18" s="5"/>
      <c r="Q18" s="5"/>
      <c r="R18" s="5"/>
      <c r="S18" s="5"/>
      <c r="T18" s="5" t="s">
        <v>68</v>
      </c>
      <c r="U18" s="5" t="s">
        <v>69</v>
      </c>
      <c r="V18" s="7" t="s">
        <v>70</v>
      </c>
      <c r="W18" s="7" t="s">
        <v>70</v>
      </c>
      <c r="X18" s="5" t="s">
        <v>71</v>
      </c>
      <c r="Y18" s="5" t="s">
        <v>58</v>
      </c>
      <c r="Z18" s="10">
        <v>45713</v>
      </c>
      <c r="AA18" t="str">
        <f t="shared" si="0"/>
        <v>Kink Vase | 15⅜" H 15¾" W 7½" DIA</v>
      </c>
      <c r="AB18" s="13" t="s">
        <v>305</v>
      </c>
      <c r="AC18" t="str">
        <f t="shared" si="1"/>
        <v>Size = Large, Color = Sand</v>
      </c>
    </row>
    <row r="19" spans="1:29" x14ac:dyDescent="0.2">
      <c r="A19" s="4" t="e">
        <f ca="1">HYPERLINK(I19,_xludf.IMAGE(I19))</f>
        <v>#VALUE!</v>
      </c>
      <c r="B19" s="5">
        <v>100538036</v>
      </c>
      <c r="C19" s="5" t="s">
        <v>98</v>
      </c>
      <c r="D19" s="5" t="s">
        <v>85</v>
      </c>
      <c r="E19" s="5" t="s">
        <v>86</v>
      </c>
      <c r="F19" s="5"/>
      <c r="G19" s="6"/>
      <c r="H19" s="5"/>
      <c r="I19" s="8" t="s">
        <v>99</v>
      </c>
      <c r="J19" s="5" t="s">
        <v>34</v>
      </c>
      <c r="K19" s="5" t="s">
        <v>96</v>
      </c>
      <c r="L19" s="5" t="s">
        <v>54</v>
      </c>
      <c r="M19" s="5" t="s">
        <v>100</v>
      </c>
      <c r="N19" s="5"/>
      <c r="O19" s="5"/>
      <c r="P19" s="5"/>
      <c r="Q19" s="5"/>
      <c r="R19" s="5"/>
      <c r="S19" s="5" t="s">
        <v>91</v>
      </c>
      <c r="T19" s="5" t="s">
        <v>92</v>
      </c>
      <c r="U19" s="5">
        <v>131560</v>
      </c>
      <c r="V19" s="7" t="s">
        <v>97</v>
      </c>
      <c r="W19" s="5"/>
      <c r="X19" s="5"/>
      <c r="Y19" s="5" t="s">
        <v>58</v>
      </c>
      <c r="Z19" s="9">
        <v>45505</v>
      </c>
      <c r="AA19" t="str">
        <f t="shared" si="0"/>
        <v xml:space="preserve">Mode Pillow | </v>
      </c>
      <c r="AB19" s="13" t="s">
        <v>308</v>
      </c>
      <c r="AC19" t="str">
        <f t="shared" si="1"/>
        <v>Color = Saltwater Jetty, Size = 18x18"</v>
      </c>
    </row>
    <row r="20" spans="1:29" x14ac:dyDescent="0.2">
      <c r="A20" s="4" t="e">
        <f ca="1">HYPERLINK(I20,_xludf.IMAGE(I20))</f>
        <v>#VALUE!</v>
      </c>
      <c r="B20" s="5">
        <v>100538042</v>
      </c>
      <c r="C20" s="5" t="s">
        <v>94</v>
      </c>
      <c r="D20" s="5" t="s">
        <v>85</v>
      </c>
      <c r="E20" s="5" t="s">
        <v>86</v>
      </c>
      <c r="F20" s="5"/>
      <c r="G20" s="6"/>
      <c r="H20" s="5"/>
      <c r="I20" s="8" t="s">
        <v>95</v>
      </c>
      <c r="J20" s="5" t="s">
        <v>34</v>
      </c>
      <c r="K20" s="5" t="s">
        <v>96</v>
      </c>
      <c r="L20" s="5" t="s">
        <v>54</v>
      </c>
      <c r="M20" s="5" t="s">
        <v>90</v>
      </c>
      <c r="N20" s="5"/>
      <c r="O20" s="5"/>
      <c r="P20" s="5"/>
      <c r="Q20" s="5"/>
      <c r="R20" s="5"/>
      <c r="S20" s="5" t="s">
        <v>91</v>
      </c>
      <c r="T20" s="5" t="s">
        <v>92</v>
      </c>
      <c r="U20" s="5">
        <v>131574</v>
      </c>
      <c r="V20" s="7" t="s">
        <v>97</v>
      </c>
      <c r="W20" s="5"/>
      <c r="X20" s="5"/>
      <c r="Y20" s="5" t="s">
        <v>58</v>
      </c>
      <c r="Z20" s="9">
        <v>45505</v>
      </c>
      <c r="AA20" t="str">
        <f t="shared" si="0"/>
        <v xml:space="preserve">Mode Pillow | </v>
      </c>
      <c r="AB20" s="13" t="s">
        <v>308</v>
      </c>
      <c r="AC20" t="str">
        <f t="shared" si="1"/>
        <v>Color = Saltwater Jetty, Size = 12x22"</v>
      </c>
    </row>
    <row r="21" spans="1:29" x14ac:dyDescent="0.2">
      <c r="A21" s="4" t="e">
        <f ca="1">HYPERLINK(I21,_xludf.IMAGE(I21))</f>
        <v>#VALUE!</v>
      </c>
      <c r="B21" s="5">
        <v>100538043</v>
      </c>
      <c r="C21" s="5" t="s">
        <v>84</v>
      </c>
      <c r="D21" s="5" t="s">
        <v>85</v>
      </c>
      <c r="E21" s="5" t="s">
        <v>86</v>
      </c>
      <c r="F21" s="5"/>
      <c r="G21" s="6" t="s">
        <v>87</v>
      </c>
      <c r="H21" s="5"/>
      <c r="I21" s="8" t="s">
        <v>88</v>
      </c>
      <c r="J21" s="5" t="s">
        <v>34</v>
      </c>
      <c r="K21" s="5" t="s">
        <v>89</v>
      </c>
      <c r="L21" s="5" t="s">
        <v>54</v>
      </c>
      <c r="M21" s="5" t="s">
        <v>90</v>
      </c>
      <c r="N21" s="5"/>
      <c r="O21" s="5"/>
      <c r="P21" s="5"/>
      <c r="Q21" s="5"/>
      <c r="R21" s="5"/>
      <c r="S21" s="5" t="s">
        <v>91</v>
      </c>
      <c r="T21" s="5" t="s">
        <v>92</v>
      </c>
      <c r="U21" s="5">
        <v>131576</v>
      </c>
      <c r="V21" s="7" t="s">
        <v>93</v>
      </c>
      <c r="W21" s="5"/>
      <c r="X21" s="5"/>
      <c r="Y21" s="5" t="s">
        <v>58</v>
      </c>
      <c r="Z21" s="9">
        <v>45505</v>
      </c>
      <c r="AA21" t="str">
        <f t="shared" si="0"/>
        <v>Mode Pillow | 12" H 22" W 5" D</v>
      </c>
      <c r="AB21" s="13" t="s">
        <v>306</v>
      </c>
      <c r="AC21" t="str">
        <f t="shared" si="1"/>
        <v>Color = Lioness Rust, Size = 12x22"</v>
      </c>
    </row>
    <row r="22" spans="1:29" x14ac:dyDescent="0.2">
      <c r="A22" s="4" t="e">
        <f ca="1">HYPERLINK(I22,_xludf.IMAGE(I22))</f>
        <v>#VALUE!</v>
      </c>
      <c r="B22" s="5">
        <v>100538040</v>
      </c>
      <c r="C22" s="5" t="s">
        <v>101</v>
      </c>
      <c r="D22" s="5" t="s">
        <v>85</v>
      </c>
      <c r="E22" s="5" t="s">
        <v>86</v>
      </c>
      <c r="F22" s="5"/>
      <c r="G22" s="6" t="s">
        <v>102</v>
      </c>
      <c r="H22" s="7" t="s">
        <v>103</v>
      </c>
      <c r="I22" s="8" t="s">
        <v>104</v>
      </c>
      <c r="J22" s="5" t="s">
        <v>34</v>
      </c>
      <c r="K22" s="5" t="s">
        <v>89</v>
      </c>
      <c r="L22" s="5" t="s">
        <v>54</v>
      </c>
      <c r="M22" s="5" t="s">
        <v>105</v>
      </c>
      <c r="N22" s="5"/>
      <c r="O22" s="5"/>
      <c r="P22" s="5"/>
      <c r="Q22" s="5"/>
      <c r="R22" s="5"/>
      <c r="S22" s="5" t="s">
        <v>91</v>
      </c>
      <c r="T22" s="5" t="s">
        <v>92</v>
      </c>
      <c r="U22" s="5">
        <v>131577</v>
      </c>
      <c r="V22" s="7" t="s">
        <v>93</v>
      </c>
      <c r="W22" s="5"/>
      <c r="X22" s="5"/>
      <c r="Y22" s="5" t="s">
        <v>58</v>
      </c>
      <c r="Z22" s="9">
        <v>45505</v>
      </c>
      <c r="AA22" t="str">
        <f t="shared" si="0"/>
        <v>Mode Pillow | 20" H 20" W 5" D</v>
      </c>
      <c r="AB22" s="13" t="s">
        <v>307</v>
      </c>
      <c r="AC22" t="str">
        <f t="shared" si="1"/>
        <v>Color = Lioness Rust, Size = 20x20"</v>
      </c>
    </row>
    <row r="23" spans="1:29" x14ac:dyDescent="0.2">
      <c r="A23" s="4" t="e">
        <f ca="1">HYPERLINK(I23,_xludf.IMAGE(I23))</f>
        <v>#VALUE!</v>
      </c>
      <c r="B23" s="5">
        <v>100642342</v>
      </c>
      <c r="C23" s="5" t="s">
        <v>117</v>
      </c>
      <c r="D23" s="5" t="s">
        <v>107</v>
      </c>
      <c r="E23" s="5" t="s">
        <v>108</v>
      </c>
      <c r="F23" s="5" t="s">
        <v>109</v>
      </c>
      <c r="G23" s="6" t="s">
        <v>110</v>
      </c>
      <c r="H23" s="7" t="s">
        <v>118</v>
      </c>
      <c r="I23" s="5" t="s">
        <v>119</v>
      </c>
      <c r="J23" s="5" t="s">
        <v>113</v>
      </c>
      <c r="K23" s="5" t="s">
        <v>120</v>
      </c>
      <c r="L23" s="5"/>
      <c r="M23" s="5"/>
      <c r="N23" s="5"/>
      <c r="O23" s="5"/>
      <c r="P23" s="5"/>
      <c r="Q23" s="5"/>
      <c r="R23" s="5"/>
      <c r="S23" s="5"/>
      <c r="T23" s="5" t="s">
        <v>115</v>
      </c>
      <c r="U23" s="5"/>
      <c r="V23" s="7" t="s">
        <v>121</v>
      </c>
      <c r="W23" s="5"/>
      <c r="X23" s="5"/>
      <c r="Y23" s="5" t="s">
        <v>40</v>
      </c>
      <c r="Z23" s="10">
        <v>45769</v>
      </c>
      <c r="AA23" t="str">
        <f t="shared" si="0"/>
        <v>Plush Extension Dining Table | 28⅜" H 94½" W 55⅛" DIA</v>
      </c>
      <c r="AB23" s="13" t="s">
        <v>309</v>
      </c>
      <c r="AC23" t="str">
        <f t="shared" si="1"/>
        <v>Finish = Walnut</v>
      </c>
    </row>
    <row r="24" spans="1:29" x14ac:dyDescent="0.2">
      <c r="A24" s="4" t="e">
        <f ca="1">HYPERLINK(I24,_xludf.IMAGE(I24))</f>
        <v>#VALUE!</v>
      </c>
      <c r="B24" s="5">
        <v>100642343</v>
      </c>
      <c r="C24" s="5" t="s">
        <v>106</v>
      </c>
      <c r="D24" s="5" t="s">
        <v>107</v>
      </c>
      <c r="E24" s="5" t="s">
        <v>108</v>
      </c>
      <c r="F24" s="5" t="s">
        <v>109</v>
      </c>
      <c r="G24" s="6" t="s">
        <v>110</v>
      </c>
      <c r="H24" s="7" t="s">
        <v>111</v>
      </c>
      <c r="I24" s="5" t="s">
        <v>112</v>
      </c>
      <c r="J24" s="5" t="s">
        <v>113</v>
      </c>
      <c r="K24" s="5" t="s">
        <v>114</v>
      </c>
      <c r="L24" s="5"/>
      <c r="M24" s="5"/>
      <c r="N24" s="5"/>
      <c r="O24" s="5"/>
      <c r="P24" s="5"/>
      <c r="Q24" s="5"/>
      <c r="R24" s="5"/>
      <c r="S24" s="5"/>
      <c r="T24" s="5" t="s">
        <v>115</v>
      </c>
      <c r="U24" s="5"/>
      <c r="V24" s="7" t="s">
        <v>116</v>
      </c>
      <c r="W24" s="5"/>
      <c r="X24" s="5"/>
      <c r="Y24" s="5" t="s">
        <v>40</v>
      </c>
      <c r="Z24" s="10">
        <v>45769</v>
      </c>
      <c r="AA24" t="str">
        <f t="shared" si="0"/>
        <v>Plush Extension Dining Table | 28⅜" H 94½" W 55⅛" DIA</v>
      </c>
      <c r="AB24" s="13" t="s">
        <v>309</v>
      </c>
      <c r="AC24" t="str">
        <f t="shared" si="1"/>
        <v>Finish = Oak</v>
      </c>
    </row>
    <row r="25" spans="1:29" x14ac:dyDescent="0.2">
      <c r="A25" s="4" t="e">
        <f ca="1">HYPERLINK(I25,_xludf.IMAGE(I25))</f>
        <v>#VALUE!</v>
      </c>
      <c r="B25" s="5">
        <v>100072864</v>
      </c>
      <c r="C25" s="5" t="s">
        <v>186</v>
      </c>
      <c r="D25" s="5" t="s">
        <v>187</v>
      </c>
      <c r="E25" s="5" t="s">
        <v>188</v>
      </c>
      <c r="F25" s="5" t="s">
        <v>189</v>
      </c>
      <c r="G25" s="6" t="s">
        <v>190</v>
      </c>
      <c r="H25" s="7" t="s">
        <v>191</v>
      </c>
      <c r="I25" s="8" t="s">
        <v>192</v>
      </c>
      <c r="J25" s="5" t="s">
        <v>34</v>
      </c>
      <c r="K25" s="5" t="s">
        <v>193</v>
      </c>
      <c r="L25" s="5"/>
      <c r="M25" s="5"/>
      <c r="N25" s="5"/>
      <c r="O25" s="5"/>
      <c r="P25" s="5"/>
      <c r="Q25" s="5"/>
      <c r="R25" s="5"/>
      <c r="S25" s="5" t="s">
        <v>194</v>
      </c>
      <c r="T25" s="5" t="s">
        <v>195</v>
      </c>
      <c r="U25" s="5" t="s">
        <v>196</v>
      </c>
      <c r="V25" s="7" t="s">
        <v>197</v>
      </c>
      <c r="W25" s="7" t="s">
        <v>197</v>
      </c>
      <c r="X25" s="5" t="s">
        <v>198</v>
      </c>
      <c r="Y25" s="5" t="s">
        <v>199</v>
      </c>
      <c r="Z25" s="9">
        <v>42795</v>
      </c>
      <c r="AA25" t="str">
        <f t="shared" si="0"/>
        <v>Sculptura Chair | 33" H 29¾" W 27¾" D</v>
      </c>
      <c r="AB25" s="13" t="s">
        <v>310</v>
      </c>
      <c r="AC25" t="str">
        <f t="shared" si="1"/>
        <v>Color = Black</v>
      </c>
    </row>
    <row r="26" spans="1:29" x14ac:dyDescent="0.2">
      <c r="A26" s="4" t="e">
        <f ca="1">HYPERLINK(I26,_xludf.IMAGE(I26))</f>
        <v>#VALUE!</v>
      </c>
      <c r="B26" s="5">
        <v>100072872</v>
      </c>
      <c r="C26" s="5" t="s">
        <v>200</v>
      </c>
      <c r="D26" s="5" t="s">
        <v>201</v>
      </c>
      <c r="E26" s="5" t="s">
        <v>188</v>
      </c>
      <c r="F26" s="5" t="s">
        <v>189</v>
      </c>
      <c r="G26" s="6" t="s">
        <v>202</v>
      </c>
      <c r="H26" s="7" t="s">
        <v>203</v>
      </c>
      <c r="I26" s="8" t="s">
        <v>204</v>
      </c>
      <c r="J26" s="5" t="s">
        <v>34</v>
      </c>
      <c r="K26" s="5" t="s">
        <v>205</v>
      </c>
      <c r="L26" s="5"/>
      <c r="M26" s="5"/>
      <c r="N26" s="5"/>
      <c r="O26" s="5"/>
      <c r="P26" s="5"/>
      <c r="Q26" s="5"/>
      <c r="R26" s="5"/>
      <c r="S26" s="5" t="s">
        <v>194</v>
      </c>
      <c r="T26" s="5" t="s">
        <v>206</v>
      </c>
      <c r="U26" s="5" t="s">
        <v>207</v>
      </c>
      <c r="V26" s="7" t="s">
        <v>208</v>
      </c>
      <c r="W26" s="7" t="s">
        <v>208</v>
      </c>
      <c r="X26" s="5" t="s">
        <v>209</v>
      </c>
      <c r="Y26" s="5" t="s">
        <v>199</v>
      </c>
      <c r="Z26" s="9">
        <v>42795</v>
      </c>
      <c r="AA26" t="str">
        <f t="shared" si="0"/>
        <v>Sculptura Chair Cushion | 2" H 24" W 18" D</v>
      </c>
      <c r="AB26" s="13" t="s">
        <v>311</v>
      </c>
      <c r="AC26" t="str">
        <f t="shared" si="1"/>
        <v>Color = White</v>
      </c>
    </row>
    <row r="27" spans="1:29" x14ac:dyDescent="0.2">
      <c r="A27" s="4" t="e">
        <f ca="1">HYPERLINK(I27,_xludf.IMAGE(I27))</f>
        <v>#NAME?</v>
      </c>
      <c r="B27" s="5">
        <v>100168671</v>
      </c>
      <c r="C27" s="5" t="s">
        <v>122</v>
      </c>
      <c r="D27" s="5" t="s">
        <v>123</v>
      </c>
      <c r="E27" s="5" t="s">
        <v>86</v>
      </c>
      <c r="F27" s="5" t="s">
        <v>124</v>
      </c>
      <c r="G27" s="6" t="s">
        <v>125</v>
      </c>
      <c r="H27" s="7" t="s">
        <v>126</v>
      </c>
      <c r="I27" s="8" t="s">
        <v>127</v>
      </c>
      <c r="J27" s="5" t="s">
        <v>54</v>
      </c>
      <c r="K27" s="5" t="s">
        <v>128</v>
      </c>
      <c r="L27" s="5" t="s">
        <v>34</v>
      </c>
      <c r="M27" s="5" t="s">
        <v>129</v>
      </c>
      <c r="N27" s="5"/>
      <c r="O27" s="5"/>
      <c r="P27" s="5"/>
      <c r="Q27" s="5"/>
      <c r="R27" s="5"/>
      <c r="S27" s="5"/>
      <c r="T27" s="5" t="s">
        <v>130</v>
      </c>
      <c r="U27" s="5" t="s">
        <v>131</v>
      </c>
      <c r="V27" s="7" t="s">
        <v>132</v>
      </c>
      <c r="W27" s="7" t="s">
        <v>133</v>
      </c>
      <c r="X27" s="5" t="s">
        <v>134</v>
      </c>
      <c r="Y27" s="5" t="s">
        <v>58</v>
      </c>
      <c r="Z27" s="9">
        <v>44075</v>
      </c>
      <c r="AA27" t="str">
        <f t="shared" si="0"/>
        <v>Sheepskin Throw | 2" H 41" W 82" D</v>
      </c>
      <c r="AB27" s="13" t="s">
        <v>312</v>
      </c>
      <c r="AC27" t="str">
        <f t="shared" si="1"/>
        <v>Size = Quadrat, Color = Light Grey</v>
      </c>
    </row>
    <row r="28" spans="1:29" x14ac:dyDescent="0.2">
      <c r="A28" s="4" t="e">
        <f ca="1">HYPERLINK(I28,_xludf.IMAGE(I28))</f>
        <v>#VALUE!</v>
      </c>
      <c r="B28" s="5">
        <v>100145046</v>
      </c>
      <c r="C28" s="5" t="s">
        <v>135</v>
      </c>
      <c r="D28" s="5" t="s">
        <v>136</v>
      </c>
      <c r="E28" s="5" t="s">
        <v>137</v>
      </c>
      <c r="F28" s="5" t="s">
        <v>138</v>
      </c>
      <c r="G28" s="6" t="s">
        <v>139</v>
      </c>
      <c r="H28" s="7" t="s">
        <v>140</v>
      </c>
      <c r="I28" s="8" t="s">
        <v>141</v>
      </c>
      <c r="J28" s="5" t="s">
        <v>34</v>
      </c>
      <c r="K28" s="5" t="s">
        <v>142</v>
      </c>
      <c r="L28" s="5" t="s">
        <v>143</v>
      </c>
      <c r="M28" s="5" t="s">
        <v>120</v>
      </c>
      <c r="N28" s="5"/>
      <c r="O28" s="5"/>
      <c r="P28" s="5"/>
      <c r="Q28" s="5"/>
      <c r="R28" s="5"/>
      <c r="S28" s="5" t="s">
        <v>144</v>
      </c>
      <c r="T28" s="5" t="s">
        <v>145</v>
      </c>
      <c r="U28" s="5" t="s">
        <v>135</v>
      </c>
      <c r="V28" s="5" t="s">
        <v>146</v>
      </c>
      <c r="W28" s="5" t="s">
        <v>146</v>
      </c>
      <c r="X28" s="5" t="s">
        <v>147</v>
      </c>
      <c r="Y28" s="5" t="s">
        <v>148</v>
      </c>
      <c r="Z28" s="9">
        <v>43891</v>
      </c>
      <c r="AA28" t="str">
        <f t="shared" si="0"/>
        <v>Uchiwa Ottoman | 15¼" H 24" W 19¼" D</v>
      </c>
      <c r="AB28" s="13" t="s">
        <v>313</v>
      </c>
      <c r="AC28" t="str">
        <f t="shared" si="1"/>
        <v>Color = Divina 691 Mauve / Remix 692 Plum, Leg = Walnut</v>
      </c>
    </row>
    <row r="29" spans="1:29" x14ac:dyDescent="0.2">
      <c r="A29" s="4" t="e">
        <f ca="1">HYPERLINK(I29,_xludf.IMAGE(I29))</f>
        <v>#NAME?</v>
      </c>
      <c r="B29" s="5">
        <v>100181152</v>
      </c>
      <c r="C29" s="5" t="s">
        <v>149</v>
      </c>
      <c r="D29" s="5" t="s">
        <v>136</v>
      </c>
      <c r="E29" s="5" t="s">
        <v>137</v>
      </c>
      <c r="F29" s="5" t="s">
        <v>138</v>
      </c>
      <c r="G29" s="6" t="s">
        <v>139</v>
      </c>
      <c r="H29" s="7" t="s">
        <v>150</v>
      </c>
      <c r="I29" s="8" t="s">
        <v>151</v>
      </c>
      <c r="J29" s="5" t="s">
        <v>34</v>
      </c>
      <c r="K29" s="5" t="s">
        <v>152</v>
      </c>
      <c r="L29" s="5" t="s">
        <v>143</v>
      </c>
      <c r="M29" s="5" t="s">
        <v>120</v>
      </c>
      <c r="N29" s="5"/>
      <c r="O29" s="5"/>
      <c r="P29" s="5"/>
      <c r="Q29" s="5"/>
      <c r="R29" s="5"/>
      <c r="S29" s="5" t="s">
        <v>144</v>
      </c>
      <c r="T29" s="5" t="s">
        <v>145</v>
      </c>
      <c r="U29" s="5" t="s">
        <v>149</v>
      </c>
      <c r="V29" s="5" t="s">
        <v>153</v>
      </c>
      <c r="W29" s="5" t="s">
        <v>153</v>
      </c>
      <c r="X29" s="5" t="s">
        <v>154</v>
      </c>
      <c r="Y29" s="5" t="s">
        <v>148</v>
      </c>
      <c r="Z29" s="10">
        <v>44131</v>
      </c>
      <c r="AA29" t="str">
        <f t="shared" si="0"/>
        <v>Uchiwa Ottoman | 15¼" H 24" W 19¼" D</v>
      </c>
      <c r="AB29" s="13" t="s">
        <v>313</v>
      </c>
      <c r="AC29" t="str">
        <f t="shared" si="1"/>
        <v>Color = Mode Clavicle / Remix 242 Birch, Leg = Walnut</v>
      </c>
    </row>
    <row r="30" spans="1:29" x14ac:dyDescent="0.2">
      <c r="A30" s="4" t="e">
        <f ca="1">HYPERLINK(I30,_xludf.IMAGE(I30))</f>
        <v>#VALUE!</v>
      </c>
      <c r="B30" s="5">
        <v>100608411</v>
      </c>
      <c r="C30" s="5" t="s">
        <v>168</v>
      </c>
      <c r="D30" s="5" t="s">
        <v>156</v>
      </c>
      <c r="E30" s="5" t="s">
        <v>157</v>
      </c>
      <c r="F30" s="5" t="s">
        <v>158</v>
      </c>
      <c r="G30" s="6" t="s">
        <v>159</v>
      </c>
      <c r="H30" s="7" t="s">
        <v>169</v>
      </c>
      <c r="I30" s="8" t="s">
        <v>170</v>
      </c>
      <c r="J30" s="5" t="s">
        <v>34</v>
      </c>
      <c r="K30" s="5" t="s">
        <v>171</v>
      </c>
      <c r="L30" s="5"/>
      <c r="M30" s="5"/>
      <c r="N30" s="5"/>
      <c r="O30" s="5"/>
      <c r="P30" s="5"/>
      <c r="Q30" s="5"/>
      <c r="R30" s="5"/>
      <c r="S30" s="5" t="s">
        <v>163</v>
      </c>
      <c r="T30" s="5" t="s">
        <v>164</v>
      </c>
      <c r="U30" s="5" t="s">
        <v>172</v>
      </c>
      <c r="V30" s="7" t="s">
        <v>173</v>
      </c>
      <c r="W30" s="5"/>
      <c r="X30" s="5"/>
      <c r="Y30" s="5" t="s">
        <v>167</v>
      </c>
      <c r="Z30" s="10">
        <v>45768</v>
      </c>
      <c r="AA30" t="str">
        <f t="shared" si="0"/>
        <v>VP1 Flowerpot Pendant | 6⅜" H 9⅛" W 9⅛" DIA</v>
      </c>
      <c r="AB30" s="13" t="s">
        <v>314</v>
      </c>
      <c r="AC30" t="str">
        <f t="shared" si="1"/>
        <v>Color = Signal Green</v>
      </c>
    </row>
    <row r="31" spans="1:29" x14ac:dyDescent="0.2">
      <c r="A31" s="4" t="e">
        <f ca="1">HYPERLINK(I31,_xludf.IMAGE(I31))</f>
        <v>#VALUE!</v>
      </c>
      <c r="B31" s="5">
        <v>100608414</v>
      </c>
      <c r="C31" s="5" t="s">
        <v>155</v>
      </c>
      <c r="D31" s="5" t="s">
        <v>156</v>
      </c>
      <c r="E31" s="5" t="s">
        <v>157</v>
      </c>
      <c r="F31" s="5" t="s">
        <v>158</v>
      </c>
      <c r="G31" s="6" t="s">
        <v>159</v>
      </c>
      <c r="H31" s="7" t="s">
        <v>160</v>
      </c>
      <c r="I31" s="8" t="s">
        <v>161</v>
      </c>
      <c r="J31" s="5" t="s">
        <v>34</v>
      </c>
      <c r="K31" s="5" t="s">
        <v>162</v>
      </c>
      <c r="L31" s="5"/>
      <c r="M31" s="5"/>
      <c r="N31" s="5"/>
      <c r="O31" s="5"/>
      <c r="P31" s="5"/>
      <c r="Q31" s="5"/>
      <c r="R31" s="5"/>
      <c r="S31" s="5" t="s">
        <v>163</v>
      </c>
      <c r="T31" s="5" t="s">
        <v>164</v>
      </c>
      <c r="U31" s="5" t="s">
        <v>165</v>
      </c>
      <c r="V31" s="7" t="s">
        <v>166</v>
      </c>
      <c r="W31" s="5"/>
      <c r="X31" s="5"/>
      <c r="Y31" s="5" t="s">
        <v>167</v>
      </c>
      <c r="Z31" s="10">
        <v>45768</v>
      </c>
      <c r="AA31" t="str">
        <f t="shared" si="0"/>
        <v>VP1 Flowerpot Pendant | 6⅜" H 9⅛" W 9⅛" DIA</v>
      </c>
      <c r="AB31" s="13" t="s">
        <v>314</v>
      </c>
      <c r="AC31" t="str">
        <f t="shared" si="1"/>
        <v>Color = Mustard</v>
      </c>
    </row>
    <row r="32" spans="1:29" x14ac:dyDescent="0.2">
      <c r="A32" s="4" t="e">
        <f ca="1">HYPERLINK(I32,_xludf.IMAGE(I32))</f>
        <v>#NAME?</v>
      </c>
      <c r="B32" s="5">
        <v>100608415</v>
      </c>
      <c r="C32" s="5" t="s">
        <v>174</v>
      </c>
      <c r="D32" s="5" t="s">
        <v>156</v>
      </c>
      <c r="E32" s="5" t="s">
        <v>157</v>
      </c>
      <c r="F32" s="5" t="s">
        <v>158</v>
      </c>
      <c r="G32" s="6" t="s">
        <v>159</v>
      </c>
      <c r="H32" s="7" t="s">
        <v>175</v>
      </c>
      <c r="I32" s="8" t="s">
        <v>176</v>
      </c>
      <c r="J32" s="5" t="s">
        <v>34</v>
      </c>
      <c r="K32" s="5" t="s">
        <v>177</v>
      </c>
      <c r="L32" s="5"/>
      <c r="M32" s="5"/>
      <c r="N32" s="5"/>
      <c r="O32" s="5"/>
      <c r="P32" s="5"/>
      <c r="Q32" s="5"/>
      <c r="R32" s="5"/>
      <c r="S32" s="5" t="s">
        <v>163</v>
      </c>
      <c r="T32" s="5" t="s">
        <v>164</v>
      </c>
      <c r="U32" s="5" t="s">
        <v>178</v>
      </c>
      <c r="V32" s="7" t="s">
        <v>179</v>
      </c>
      <c r="W32" s="5"/>
      <c r="X32" s="5"/>
      <c r="Y32" s="5" t="s">
        <v>167</v>
      </c>
      <c r="Z32" s="10">
        <v>45768</v>
      </c>
      <c r="AA32" t="str">
        <f t="shared" si="0"/>
        <v>VP1 Flowerpot Pendant | 6⅜" H 9⅛" W 9⅛" DIA</v>
      </c>
      <c r="AB32" s="13" t="s">
        <v>314</v>
      </c>
      <c r="AC32" t="str">
        <f t="shared" si="1"/>
        <v>Color = Stone Blue</v>
      </c>
    </row>
    <row r="33" spans="1:29" x14ac:dyDescent="0.2">
      <c r="A33" s="4" t="e">
        <f ca="1">HYPERLINK(I33,_xludf.IMAGE(I33))</f>
        <v>#VALUE!</v>
      </c>
      <c r="B33" s="5">
        <v>100608512</v>
      </c>
      <c r="C33" s="5" t="s">
        <v>180</v>
      </c>
      <c r="D33" s="5" t="s">
        <v>156</v>
      </c>
      <c r="E33" s="5" t="s">
        <v>157</v>
      </c>
      <c r="F33" s="5" t="s">
        <v>158</v>
      </c>
      <c r="G33" s="6" t="s">
        <v>159</v>
      </c>
      <c r="H33" s="7" t="s">
        <v>181</v>
      </c>
      <c r="I33" s="8" t="s">
        <v>182</v>
      </c>
      <c r="J33" s="5" t="s">
        <v>34</v>
      </c>
      <c r="K33" s="5" t="s">
        <v>183</v>
      </c>
      <c r="L33" s="5"/>
      <c r="M33" s="5"/>
      <c r="N33" s="5"/>
      <c r="O33" s="5"/>
      <c r="P33" s="5"/>
      <c r="Q33" s="5"/>
      <c r="R33" s="5"/>
      <c r="S33" s="5" t="s">
        <v>163</v>
      </c>
      <c r="T33" s="5" t="s">
        <v>164</v>
      </c>
      <c r="U33" s="5" t="s">
        <v>184</v>
      </c>
      <c r="V33" s="7" t="s">
        <v>185</v>
      </c>
      <c r="W33" s="5"/>
      <c r="X33" s="5"/>
      <c r="Y33" s="5" t="s">
        <v>167</v>
      </c>
      <c r="Z33" s="10">
        <v>45768</v>
      </c>
      <c r="AA33" t="str">
        <f t="shared" si="0"/>
        <v>VP1 Flowerpot Pendant | 6⅜" H 9⅛" W 9⅛" DIA</v>
      </c>
      <c r="AB33" s="13" t="s">
        <v>314</v>
      </c>
      <c r="AC33" t="str">
        <f t="shared" si="1"/>
        <v>Color = Swim Blue</v>
      </c>
    </row>
    <row r="34" spans="1:29" x14ac:dyDescent="0.2">
      <c r="A34" s="11"/>
      <c r="B34" s="11"/>
      <c r="C34" s="11"/>
      <c r="D34" s="11"/>
      <c r="E34" s="11"/>
      <c r="F34" s="11"/>
      <c r="G34" s="12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9" x14ac:dyDescent="0.2">
      <c r="A35" s="11"/>
      <c r="B35" s="11"/>
      <c r="C35" s="11"/>
      <c r="D35" s="11"/>
      <c r="E35" s="11"/>
      <c r="F35" s="11"/>
      <c r="G35" s="12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9" x14ac:dyDescent="0.2">
      <c r="A36" s="11"/>
      <c r="B36" s="11"/>
      <c r="C36" s="11"/>
      <c r="D36" s="11"/>
      <c r="E36" s="11"/>
      <c r="F36" s="11"/>
      <c r="G36" s="12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9" x14ac:dyDescent="0.2">
      <c r="A37" s="11"/>
      <c r="B37" s="11"/>
      <c r="C37" s="11"/>
      <c r="D37" s="11"/>
      <c r="E37" s="11"/>
      <c r="F37" s="11"/>
      <c r="G37" s="12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9" x14ac:dyDescent="0.2">
      <c r="A38" s="11"/>
      <c r="B38" s="11"/>
      <c r="C38" s="11"/>
      <c r="D38" s="11"/>
      <c r="E38" s="11"/>
      <c r="F38" s="11"/>
      <c r="G38" s="12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9" x14ac:dyDescent="0.2">
      <c r="A39" s="11"/>
      <c r="B39" s="11"/>
      <c r="C39" s="11"/>
      <c r="D39" s="11"/>
      <c r="E39" s="11"/>
      <c r="F39" s="11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9" x14ac:dyDescent="0.2">
      <c r="A40" s="11"/>
      <c r="B40" s="11"/>
      <c r="C40" s="11"/>
      <c r="D40" s="11"/>
      <c r="E40" s="11"/>
      <c r="F40" s="11"/>
      <c r="G40" s="12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9" x14ac:dyDescent="0.2">
      <c r="A41" s="11"/>
      <c r="B41" s="11"/>
      <c r="C41" s="11"/>
      <c r="D41" s="11"/>
      <c r="E41" s="11"/>
      <c r="F41" s="11"/>
      <c r="G41" s="12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9" x14ac:dyDescent="0.2">
      <c r="A42" s="11"/>
      <c r="B42" s="11"/>
      <c r="C42" s="11"/>
      <c r="D42" s="11"/>
      <c r="E42" s="11"/>
      <c r="F42" s="11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9" x14ac:dyDescent="0.2">
      <c r="A43" s="11"/>
      <c r="B43" s="11"/>
      <c r="C43" s="11"/>
      <c r="D43" s="11"/>
      <c r="E43" s="11"/>
      <c r="F43" s="11"/>
      <c r="G43" s="1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9" x14ac:dyDescent="0.2">
      <c r="A44" s="11"/>
      <c r="B44" s="11"/>
      <c r="C44" s="11"/>
      <c r="D44" s="11"/>
      <c r="E44" s="11"/>
      <c r="F44" s="11"/>
      <c r="G44" s="12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9" x14ac:dyDescent="0.2">
      <c r="A45" s="11"/>
      <c r="B45" s="11"/>
      <c r="C45" s="11"/>
      <c r="D45" s="11"/>
      <c r="E45" s="11"/>
      <c r="F45" s="11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9" x14ac:dyDescent="0.2">
      <c r="A46" s="11"/>
      <c r="B46" s="11"/>
      <c r="C46" s="11"/>
      <c r="D46" s="11"/>
      <c r="E46" s="11"/>
      <c r="F46" s="11"/>
      <c r="G46" s="12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9" x14ac:dyDescent="0.2">
      <c r="A47" s="11"/>
      <c r="B47" s="11"/>
      <c r="C47" s="11"/>
      <c r="D47" s="11"/>
      <c r="E47" s="11"/>
      <c r="F47" s="11"/>
      <c r="G47" s="12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9" x14ac:dyDescent="0.2">
      <c r="A48" s="11"/>
      <c r="B48" s="11"/>
      <c r="C48" s="11"/>
      <c r="D48" s="11"/>
      <c r="E48" s="11"/>
      <c r="F48" s="11"/>
      <c r="G48" s="12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11"/>
      <c r="B49" s="11"/>
      <c r="C49" s="11"/>
      <c r="D49" s="11"/>
      <c r="E49" s="11"/>
      <c r="F49" s="11"/>
      <c r="G49" s="12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11"/>
      <c r="B50" s="11"/>
      <c r="C50" s="11"/>
      <c r="D50" s="11"/>
      <c r="E50" s="11"/>
      <c r="F50" s="11"/>
      <c r="G50" s="12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11"/>
      <c r="B51" s="11"/>
      <c r="C51" s="11"/>
      <c r="D51" s="11"/>
      <c r="E51" s="11"/>
      <c r="F51" s="11"/>
      <c r="G51" s="12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11"/>
      <c r="B52" s="11"/>
      <c r="C52" s="11"/>
      <c r="D52" s="11"/>
      <c r="E52" s="11"/>
      <c r="F52" s="11"/>
      <c r="G52" s="12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">
      <c r="A53" s="11"/>
      <c r="B53" s="11"/>
      <c r="C53" s="11"/>
      <c r="D53" s="11"/>
      <c r="E53" s="11"/>
      <c r="F53" s="11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">
      <c r="A54" s="11"/>
      <c r="B54" s="11"/>
      <c r="C54" s="11"/>
      <c r="D54" s="11"/>
      <c r="E54" s="11"/>
      <c r="F54" s="11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">
      <c r="A55" s="11"/>
      <c r="B55" s="11"/>
      <c r="C55" s="11"/>
      <c r="D55" s="11"/>
      <c r="E55" s="11"/>
      <c r="F55" s="11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">
      <c r="A56" s="11"/>
      <c r="B56" s="11"/>
      <c r="C56" s="11"/>
      <c r="D56" s="11"/>
      <c r="E56" s="11"/>
      <c r="F56" s="11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">
      <c r="A57" s="11"/>
      <c r="B57" s="11"/>
      <c r="C57" s="11"/>
      <c r="D57" s="11"/>
      <c r="E57" s="11"/>
      <c r="F57" s="11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">
      <c r="A58" s="11"/>
      <c r="B58" s="11"/>
      <c r="C58" s="11"/>
      <c r="D58" s="11"/>
      <c r="E58" s="11"/>
      <c r="F58" s="11"/>
      <c r="G58" s="12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">
      <c r="A59" s="11"/>
      <c r="B59" s="11"/>
      <c r="C59" s="11"/>
      <c r="D59" s="11"/>
      <c r="E59" s="11"/>
      <c r="F59" s="11"/>
      <c r="G59" s="12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">
      <c r="A60" s="11"/>
      <c r="B60" s="11"/>
      <c r="C60" s="11"/>
      <c r="D60" s="11"/>
      <c r="E60" s="11"/>
      <c r="F60" s="11"/>
      <c r="G60" s="1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">
      <c r="A61" s="11"/>
      <c r="B61" s="11"/>
      <c r="C61" s="11"/>
      <c r="D61" s="11"/>
      <c r="E61" s="11"/>
      <c r="F61" s="11"/>
      <c r="G61" s="12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">
      <c r="A62" s="11"/>
      <c r="B62" s="11"/>
      <c r="C62" s="11"/>
      <c r="D62" s="11"/>
      <c r="E62" s="11"/>
      <c r="F62" s="11"/>
      <c r="G62" s="12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">
      <c r="A63" s="11"/>
      <c r="B63" s="11"/>
      <c r="C63" s="11"/>
      <c r="D63" s="11"/>
      <c r="E63" s="11"/>
      <c r="F63" s="11"/>
      <c r="G63" s="12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">
      <c r="A64" s="11"/>
      <c r="B64" s="11"/>
      <c r="C64" s="11"/>
      <c r="D64" s="11"/>
      <c r="E64" s="11"/>
      <c r="F64" s="11"/>
      <c r="G64" s="12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">
      <c r="A65" s="11"/>
      <c r="B65" s="11"/>
      <c r="C65" s="11"/>
      <c r="D65" s="11"/>
      <c r="E65" s="11"/>
      <c r="F65" s="11"/>
      <c r="G65" s="1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">
      <c r="A66" s="11"/>
      <c r="B66" s="11"/>
      <c r="C66" s="11"/>
      <c r="D66" s="11"/>
      <c r="E66" s="11"/>
      <c r="F66" s="11"/>
      <c r="G66" s="1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">
      <c r="A67" s="11"/>
      <c r="B67" s="11"/>
      <c r="C67" s="11"/>
      <c r="D67" s="11"/>
      <c r="E67" s="11"/>
      <c r="F67" s="11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">
      <c r="A68" s="11"/>
      <c r="B68" s="11"/>
      <c r="C68" s="11"/>
      <c r="D68" s="11"/>
      <c r="E68" s="11"/>
      <c r="F68" s="11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">
      <c r="A69" s="11"/>
      <c r="B69" s="11"/>
      <c r="C69" s="11"/>
      <c r="D69" s="11"/>
      <c r="E69" s="11"/>
      <c r="F69" s="11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">
      <c r="A70" s="11"/>
      <c r="B70" s="11"/>
      <c r="C70" s="11"/>
      <c r="D70" s="11"/>
      <c r="E70" s="11"/>
      <c r="F70" s="11"/>
      <c r="G70" s="1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">
      <c r="A71" s="11"/>
      <c r="B71" s="11"/>
      <c r="C71" s="11"/>
      <c r="D71" s="11"/>
      <c r="E71" s="11"/>
      <c r="F71" s="11"/>
      <c r="G71" s="1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">
      <c r="A72" s="11"/>
      <c r="B72" s="11"/>
      <c r="C72" s="11"/>
      <c r="D72" s="11"/>
      <c r="E72" s="11"/>
      <c r="F72" s="11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">
      <c r="A73" s="11"/>
      <c r="B73" s="11"/>
      <c r="C73" s="11"/>
      <c r="D73" s="11"/>
      <c r="E73" s="11"/>
      <c r="F73" s="11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">
      <c r="A74" s="11"/>
      <c r="B74" s="11"/>
      <c r="C74" s="11"/>
      <c r="D74" s="11"/>
      <c r="E74" s="11"/>
      <c r="F74" s="11"/>
      <c r="G74" s="1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">
      <c r="A75" s="11"/>
      <c r="B75" s="11"/>
      <c r="C75" s="11"/>
      <c r="D75" s="11"/>
      <c r="E75" s="11"/>
      <c r="F75" s="11"/>
      <c r="G75" s="1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">
      <c r="A76" s="11"/>
      <c r="B76" s="11"/>
      <c r="C76" s="11"/>
      <c r="D76" s="11"/>
      <c r="E76" s="11"/>
      <c r="F76" s="11"/>
      <c r="G76" s="12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">
      <c r="A77" s="11"/>
      <c r="B77" s="11"/>
      <c r="C77" s="11"/>
      <c r="D77" s="11"/>
      <c r="E77" s="11"/>
      <c r="F77" s="11"/>
      <c r="G77" s="12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">
      <c r="A78" s="11"/>
      <c r="B78" s="11"/>
      <c r="C78" s="11"/>
      <c r="D78" s="11"/>
      <c r="E78" s="11"/>
      <c r="F78" s="11"/>
      <c r="G78" s="12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">
      <c r="A79" s="11"/>
      <c r="B79" s="11"/>
      <c r="C79" s="11"/>
      <c r="D79" s="11"/>
      <c r="E79" s="11"/>
      <c r="F79" s="11"/>
      <c r="G79" s="12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">
      <c r="A80" s="11"/>
      <c r="B80" s="11"/>
      <c r="C80" s="11"/>
      <c r="D80" s="11"/>
      <c r="E80" s="11"/>
      <c r="F80" s="11"/>
      <c r="G80" s="12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">
      <c r="A81" s="11"/>
      <c r="B81" s="11"/>
      <c r="C81" s="11"/>
      <c r="D81" s="11"/>
      <c r="E81" s="11"/>
      <c r="F81" s="11"/>
      <c r="G81" s="12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">
      <c r="A82" s="11"/>
      <c r="B82" s="11"/>
      <c r="C82" s="11"/>
      <c r="D82" s="11"/>
      <c r="E82" s="11"/>
      <c r="F82" s="11"/>
      <c r="G82" s="12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">
      <c r="A83" s="11"/>
      <c r="B83" s="11"/>
      <c r="C83" s="11"/>
      <c r="D83" s="11"/>
      <c r="E83" s="11"/>
      <c r="F83" s="11"/>
      <c r="G83" s="12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">
      <c r="A84" s="11"/>
      <c r="B84" s="11"/>
      <c r="C84" s="11"/>
      <c r="D84" s="11"/>
      <c r="E84" s="11"/>
      <c r="F84" s="11"/>
      <c r="G84" s="12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">
      <c r="A85" s="11"/>
      <c r="B85" s="11"/>
      <c r="C85" s="11"/>
      <c r="D85" s="11"/>
      <c r="E85" s="11"/>
      <c r="F85" s="11"/>
      <c r="G85" s="12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">
      <c r="A86" s="11"/>
      <c r="B86" s="11"/>
      <c r="C86" s="11"/>
      <c r="D86" s="11"/>
      <c r="E86" s="11"/>
      <c r="F86" s="11"/>
      <c r="G86" s="12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">
      <c r="A87" s="11"/>
      <c r="B87" s="11"/>
      <c r="C87" s="11"/>
      <c r="D87" s="11"/>
      <c r="E87" s="11"/>
      <c r="F87" s="11"/>
      <c r="G87" s="12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">
      <c r="A88" s="11"/>
      <c r="B88" s="11"/>
      <c r="C88" s="11"/>
      <c r="D88" s="11"/>
      <c r="E88" s="11"/>
      <c r="F88" s="11"/>
      <c r="G88" s="1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">
      <c r="A89" s="11"/>
      <c r="B89" s="11"/>
      <c r="C89" s="11"/>
      <c r="D89" s="11"/>
      <c r="E89" s="11"/>
      <c r="F89" s="11"/>
      <c r="G89" s="1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">
      <c r="A90" s="11"/>
      <c r="B90" s="11"/>
      <c r="C90" s="11"/>
      <c r="D90" s="11"/>
      <c r="E90" s="11"/>
      <c r="F90" s="11"/>
      <c r="G90" s="1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">
      <c r="A91" s="11"/>
      <c r="B91" s="11"/>
      <c r="C91" s="11"/>
      <c r="D91" s="11"/>
      <c r="E91" s="11"/>
      <c r="F91" s="11"/>
      <c r="G91" s="1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">
      <c r="A92" s="11"/>
      <c r="B92" s="11"/>
      <c r="C92" s="11"/>
      <c r="D92" s="11"/>
      <c r="E92" s="11"/>
      <c r="F92" s="11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">
      <c r="A93" s="11"/>
      <c r="B93" s="11"/>
      <c r="C93" s="11"/>
      <c r="D93" s="11"/>
      <c r="E93" s="11"/>
      <c r="F93" s="11"/>
      <c r="G93" s="1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1"/>
      <c r="B94" s="11"/>
      <c r="C94" s="11"/>
      <c r="D94" s="11"/>
      <c r="E94" s="11"/>
      <c r="F94" s="11"/>
      <c r="G94" s="1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">
      <c r="A95" s="11"/>
      <c r="B95" s="11"/>
      <c r="C95" s="11"/>
      <c r="D95" s="11"/>
      <c r="E95" s="11"/>
      <c r="F95" s="11"/>
      <c r="G95" s="1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">
      <c r="A96" s="11"/>
      <c r="B96" s="11"/>
      <c r="C96" s="11"/>
      <c r="D96" s="11"/>
      <c r="E96" s="11"/>
      <c r="F96" s="11"/>
      <c r="G96" s="1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">
      <c r="A97" s="11"/>
      <c r="B97" s="11"/>
      <c r="C97" s="11"/>
      <c r="D97" s="11"/>
      <c r="E97" s="11"/>
      <c r="F97" s="11"/>
      <c r="G97" s="1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">
      <c r="A98" s="11"/>
      <c r="B98" s="11"/>
      <c r="C98" s="11"/>
      <c r="D98" s="11"/>
      <c r="E98" s="11"/>
      <c r="F98" s="11"/>
      <c r="G98" s="1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">
      <c r="A99" s="11"/>
      <c r="B99" s="11"/>
      <c r="C99" s="11"/>
      <c r="D99" s="11"/>
      <c r="E99" s="11"/>
      <c r="F99" s="11"/>
      <c r="G99" s="1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">
      <c r="A100" s="11"/>
      <c r="B100" s="11"/>
      <c r="C100" s="11"/>
      <c r="D100" s="11"/>
      <c r="E100" s="11"/>
      <c r="F100" s="11"/>
      <c r="G100" s="1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">
      <c r="A101" s="11"/>
      <c r="B101" s="11"/>
      <c r="C101" s="11"/>
      <c r="D101" s="11"/>
      <c r="E101" s="11"/>
      <c r="F101" s="11"/>
      <c r="G101" s="1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">
      <c r="A102" s="11"/>
      <c r="B102" s="11"/>
      <c r="C102" s="11"/>
      <c r="D102" s="11"/>
      <c r="E102" s="11"/>
      <c r="F102" s="11"/>
      <c r="G102" s="1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">
      <c r="A103" s="11"/>
      <c r="B103" s="11"/>
      <c r="C103" s="11"/>
      <c r="D103" s="11"/>
      <c r="E103" s="11"/>
      <c r="F103" s="11"/>
      <c r="G103" s="1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">
      <c r="A104" s="11"/>
      <c r="B104" s="11"/>
      <c r="C104" s="11"/>
      <c r="D104" s="11"/>
      <c r="E104" s="11"/>
      <c r="F104" s="11"/>
      <c r="G104" s="1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">
      <c r="A105" s="11"/>
      <c r="B105" s="11"/>
      <c r="C105" s="11"/>
      <c r="D105" s="11"/>
      <c r="E105" s="11"/>
      <c r="F105" s="11"/>
      <c r="G105" s="1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">
      <c r="A106" s="11"/>
      <c r="B106" s="11"/>
      <c r="C106" s="11"/>
      <c r="D106" s="11"/>
      <c r="E106" s="11"/>
      <c r="F106" s="11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">
      <c r="A107" s="11"/>
      <c r="B107" s="11"/>
      <c r="C107" s="11"/>
      <c r="D107" s="11"/>
      <c r="E107" s="11"/>
      <c r="F107" s="11"/>
      <c r="G107" s="1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">
      <c r="A108" s="11"/>
      <c r="B108" s="11"/>
      <c r="C108" s="11"/>
      <c r="D108" s="11"/>
      <c r="E108" s="11"/>
      <c r="F108" s="11"/>
      <c r="G108" s="1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">
      <c r="A109" s="11"/>
      <c r="B109" s="11"/>
      <c r="C109" s="11"/>
      <c r="D109" s="11"/>
      <c r="E109" s="11"/>
      <c r="F109" s="11"/>
      <c r="G109" s="12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">
      <c r="A110" s="11"/>
      <c r="B110" s="11"/>
      <c r="C110" s="11"/>
      <c r="D110" s="11"/>
      <c r="E110" s="11"/>
      <c r="F110" s="11"/>
      <c r="G110" s="1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">
      <c r="A111" s="11"/>
      <c r="B111" s="11"/>
      <c r="C111" s="11"/>
      <c r="D111" s="11"/>
      <c r="E111" s="11"/>
      <c r="F111" s="11"/>
      <c r="G111" s="1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">
      <c r="A112" s="11"/>
      <c r="B112" s="11"/>
      <c r="C112" s="11"/>
      <c r="D112" s="11"/>
      <c r="E112" s="11"/>
      <c r="F112" s="11"/>
      <c r="G112" s="1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">
      <c r="A113" s="11"/>
      <c r="B113" s="11"/>
      <c r="C113" s="11"/>
      <c r="D113" s="11"/>
      <c r="E113" s="11"/>
      <c r="F113" s="11"/>
      <c r="G113" s="1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">
      <c r="A114" s="11"/>
      <c r="B114" s="11"/>
      <c r="C114" s="11"/>
      <c r="D114" s="11"/>
      <c r="E114" s="11"/>
      <c r="F114" s="11"/>
      <c r="G114" s="1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">
      <c r="A115" s="11"/>
      <c r="B115" s="11"/>
      <c r="C115" s="11"/>
      <c r="D115" s="11"/>
      <c r="E115" s="11"/>
      <c r="F115" s="11"/>
      <c r="G115" s="12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">
      <c r="A116" s="11"/>
      <c r="B116" s="11"/>
      <c r="C116" s="11"/>
      <c r="D116" s="11"/>
      <c r="E116" s="11"/>
      <c r="F116" s="11"/>
      <c r="G116" s="12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">
      <c r="A117" s="11"/>
      <c r="B117" s="11"/>
      <c r="C117" s="11"/>
      <c r="D117" s="11"/>
      <c r="E117" s="11"/>
      <c r="F117" s="11"/>
      <c r="G117" s="12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">
      <c r="A118" s="11"/>
      <c r="B118" s="11"/>
      <c r="C118" s="11"/>
      <c r="D118" s="11"/>
      <c r="E118" s="11"/>
      <c r="F118" s="11"/>
      <c r="G118" s="12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">
      <c r="A119" s="11"/>
      <c r="B119" s="11"/>
      <c r="C119" s="11"/>
      <c r="D119" s="11"/>
      <c r="E119" s="11"/>
      <c r="F119" s="11"/>
      <c r="G119" s="12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">
      <c r="A120" s="11"/>
      <c r="B120" s="11"/>
      <c r="C120" s="11"/>
      <c r="D120" s="11"/>
      <c r="E120" s="11"/>
      <c r="F120" s="11"/>
      <c r="G120" s="12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">
      <c r="A121" s="11"/>
      <c r="B121" s="11"/>
      <c r="C121" s="11"/>
      <c r="D121" s="11"/>
      <c r="E121" s="11"/>
      <c r="F121" s="11"/>
      <c r="G121" s="12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">
      <c r="A122" s="11"/>
      <c r="B122" s="11"/>
      <c r="C122" s="11"/>
      <c r="D122" s="11"/>
      <c r="E122" s="11"/>
      <c r="F122" s="11"/>
      <c r="G122" s="12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">
      <c r="A123" s="11"/>
      <c r="B123" s="11"/>
      <c r="C123" s="11"/>
      <c r="D123" s="11"/>
      <c r="E123" s="11"/>
      <c r="F123" s="11"/>
      <c r="G123" s="12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">
      <c r="A124" s="11"/>
      <c r="B124" s="11"/>
      <c r="C124" s="11"/>
      <c r="D124" s="11"/>
      <c r="E124" s="11"/>
      <c r="F124" s="11"/>
      <c r="G124" s="12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">
      <c r="A125" s="11"/>
      <c r="B125" s="11"/>
      <c r="C125" s="11"/>
      <c r="D125" s="11"/>
      <c r="E125" s="11"/>
      <c r="F125" s="11"/>
      <c r="G125" s="12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">
      <c r="A126" s="11"/>
      <c r="B126" s="11"/>
      <c r="C126" s="11"/>
      <c r="D126" s="11"/>
      <c r="E126" s="11"/>
      <c r="F126" s="11"/>
      <c r="G126" s="12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">
      <c r="A127" s="11"/>
      <c r="B127" s="11"/>
      <c r="C127" s="11"/>
      <c r="D127" s="11"/>
      <c r="E127" s="11"/>
      <c r="F127" s="11"/>
      <c r="G127" s="12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">
      <c r="A128" s="11"/>
      <c r="B128" s="11"/>
      <c r="C128" s="11"/>
      <c r="D128" s="11"/>
      <c r="E128" s="11"/>
      <c r="F128" s="11"/>
      <c r="G128" s="1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">
      <c r="A129" s="11"/>
      <c r="B129" s="11"/>
      <c r="C129" s="11"/>
      <c r="D129" s="11"/>
      <c r="E129" s="11"/>
      <c r="F129" s="11"/>
      <c r="G129" s="12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">
      <c r="A130" s="11"/>
      <c r="B130" s="11"/>
      <c r="C130" s="11"/>
      <c r="D130" s="11"/>
      <c r="E130" s="11"/>
      <c r="F130" s="11"/>
      <c r="G130" s="12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">
      <c r="A131" s="11"/>
      <c r="B131" s="11"/>
      <c r="C131" s="11"/>
      <c r="D131" s="11"/>
      <c r="E131" s="11"/>
      <c r="F131" s="11"/>
      <c r="G131" s="12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">
      <c r="A132" s="11"/>
      <c r="B132" s="11"/>
      <c r="C132" s="11"/>
      <c r="D132" s="11"/>
      <c r="E132" s="11"/>
      <c r="F132" s="11"/>
      <c r="G132" s="12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">
      <c r="A133" s="11"/>
      <c r="B133" s="11"/>
      <c r="C133" s="11"/>
      <c r="D133" s="11"/>
      <c r="E133" s="11"/>
      <c r="F133" s="11"/>
      <c r="G133" s="12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">
      <c r="A134" s="11"/>
      <c r="B134" s="11"/>
      <c r="C134" s="11"/>
      <c r="D134" s="11"/>
      <c r="E134" s="11"/>
      <c r="F134" s="11"/>
      <c r="G134" s="12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">
      <c r="A135" s="11"/>
      <c r="B135" s="11"/>
      <c r="C135" s="11"/>
      <c r="D135" s="11"/>
      <c r="E135" s="11"/>
      <c r="F135" s="11"/>
      <c r="G135" s="12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">
      <c r="A136" s="11"/>
      <c r="B136" s="11"/>
      <c r="C136" s="11"/>
      <c r="D136" s="11"/>
      <c r="E136" s="11"/>
      <c r="F136" s="11"/>
      <c r="G136" s="12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">
      <c r="A137" s="11"/>
      <c r="B137" s="11"/>
      <c r="C137" s="11"/>
      <c r="D137" s="11"/>
      <c r="E137" s="11"/>
      <c r="F137" s="11"/>
      <c r="G137" s="12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">
      <c r="A138" s="11"/>
      <c r="B138" s="11"/>
      <c r="C138" s="11"/>
      <c r="D138" s="11"/>
      <c r="E138" s="11"/>
      <c r="F138" s="11"/>
      <c r="G138" s="12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">
      <c r="A139" s="11"/>
      <c r="B139" s="11"/>
      <c r="C139" s="11"/>
      <c r="D139" s="11"/>
      <c r="E139" s="11"/>
      <c r="F139" s="11"/>
      <c r="G139" s="12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">
      <c r="A140" s="11"/>
      <c r="B140" s="11"/>
      <c r="C140" s="11"/>
      <c r="D140" s="11"/>
      <c r="E140" s="11"/>
      <c r="F140" s="11"/>
      <c r="G140" s="12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">
      <c r="A141" s="11"/>
      <c r="B141" s="11"/>
      <c r="C141" s="11"/>
      <c r="D141" s="11"/>
      <c r="E141" s="11"/>
      <c r="F141" s="11"/>
      <c r="G141" s="12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">
      <c r="A142" s="11"/>
      <c r="B142" s="11"/>
      <c r="C142" s="11"/>
      <c r="D142" s="11"/>
      <c r="E142" s="11"/>
      <c r="F142" s="11"/>
      <c r="G142" s="12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">
      <c r="A143" s="11"/>
      <c r="B143" s="11"/>
      <c r="C143" s="11"/>
      <c r="D143" s="11"/>
      <c r="E143" s="11"/>
      <c r="F143" s="11"/>
      <c r="G143" s="12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">
      <c r="A144" s="11"/>
      <c r="B144" s="11"/>
      <c r="C144" s="11"/>
      <c r="D144" s="11"/>
      <c r="E144" s="11"/>
      <c r="F144" s="11"/>
      <c r="G144" s="12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">
      <c r="A145" s="11"/>
      <c r="B145" s="11"/>
      <c r="C145" s="11"/>
      <c r="D145" s="11"/>
      <c r="E145" s="11"/>
      <c r="F145" s="11"/>
      <c r="G145" s="12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">
      <c r="A146" s="11"/>
      <c r="B146" s="11"/>
      <c r="C146" s="11"/>
      <c r="D146" s="11"/>
      <c r="E146" s="11"/>
      <c r="F146" s="11"/>
      <c r="G146" s="12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">
      <c r="A147" s="11"/>
      <c r="B147" s="11"/>
      <c r="C147" s="11"/>
      <c r="D147" s="11"/>
      <c r="E147" s="11"/>
      <c r="F147" s="11"/>
      <c r="G147" s="12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">
      <c r="A148" s="11"/>
      <c r="B148" s="11"/>
      <c r="C148" s="11"/>
      <c r="D148" s="11"/>
      <c r="E148" s="11"/>
      <c r="F148" s="11"/>
      <c r="G148" s="12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">
      <c r="A149" s="11"/>
      <c r="B149" s="11"/>
      <c r="C149" s="11"/>
      <c r="D149" s="11"/>
      <c r="E149" s="11"/>
      <c r="F149" s="11"/>
      <c r="G149" s="12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">
      <c r="A150" s="11"/>
      <c r="B150" s="11"/>
      <c r="C150" s="11"/>
      <c r="D150" s="11"/>
      <c r="E150" s="11"/>
      <c r="F150" s="11"/>
      <c r="G150" s="12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">
      <c r="A151" s="11"/>
      <c r="B151" s="11"/>
      <c r="C151" s="11"/>
      <c r="D151" s="11"/>
      <c r="E151" s="11"/>
      <c r="F151" s="11"/>
      <c r="G151" s="12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">
      <c r="A152" s="11"/>
      <c r="B152" s="11"/>
      <c r="C152" s="11"/>
      <c r="D152" s="11"/>
      <c r="E152" s="11"/>
      <c r="F152" s="11"/>
      <c r="G152" s="12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">
      <c r="A153" s="11"/>
      <c r="B153" s="11"/>
      <c r="C153" s="11"/>
      <c r="D153" s="11"/>
      <c r="E153" s="11"/>
      <c r="F153" s="11"/>
      <c r="G153" s="12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">
      <c r="A154" s="11"/>
      <c r="B154" s="11"/>
      <c r="C154" s="11"/>
      <c r="D154" s="11"/>
      <c r="E154" s="11"/>
      <c r="F154" s="11"/>
      <c r="G154" s="12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">
      <c r="A155" s="11"/>
      <c r="B155" s="11"/>
      <c r="C155" s="11"/>
      <c r="D155" s="11"/>
      <c r="E155" s="11"/>
      <c r="F155" s="11"/>
      <c r="G155" s="12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">
      <c r="A156" s="11"/>
      <c r="B156" s="11"/>
      <c r="C156" s="11"/>
      <c r="D156" s="11"/>
      <c r="E156" s="11"/>
      <c r="F156" s="11"/>
      <c r="G156" s="12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">
      <c r="A157" s="11"/>
      <c r="B157" s="11"/>
      <c r="C157" s="11"/>
      <c r="D157" s="11"/>
      <c r="E157" s="11"/>
      <c r="F157" s="11"/>
      <c r="G157" s="12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">
      <c r="A158" s="11"/>
      <c r="B158" s="11"/>
      <c r="C158" s="11"/>
      <c r="D158" s="11"/>
      <c r="E158" s="11"/>
      <c r="F158" s="11"/>
      <c r="G158" s="12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">
      <c r="A159" s="11"/>
      <c r="B159" s="11"/>
      <c r="C159" s="11"/>
      <c r="D159" s="11"/>
      <c r="E159" s="11"/>
      <c r="F159" s="11"/>
      <c r="G159" s="12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">
      <c r="A160" s="11"/>
      <c r="B160" s="11"/>
      <c r="C160" s="11"/>
      <c r="D160" s="11"/>
      <c r="E160" s="11"/>
      <c r="F160" s="11"/>
      <c r="G160" s="1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">
      <c r="A161" s="11"/>
      <c r="B161" s="11"/>
      <c r="C161" s="11"/>
      <c r="D161" s="11"/>
      <c r="E161" s="11"/>
      <c r="F161" s="11"/>
      <c r="G161" s="12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">
      <c r="A162" s="11"/>
      <c r="B162" s="11"/>
      <c r="C162" s="11"/>
      <c r="D162" s="11"/>
      <c r="E162" s="11"/>
      <c r="F162" s="11"/>
      <c r="G162" s="12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">
      <c r="A163" s="11"/>
      <c r="B163" s="11"/>
      <c r="C163" s="11"/>
      <c r="D163" s="11"/>
      <c r="E163" s="11"/>
      <c r="F163" s="11"/>
      <c r="G163" s="1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">
      <c r="A164" s="11"/>
      <c r="B164" s="11"/>
      <c r="C164" s="11"/>
      <c r="D164" s="11"/>
      <c r="E164" s="11"/>
      <c r="F164" s="11"/>
      <c r="G164" s="12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">
      <c r="A165" s="11"/>
      <c r="B165" s="11"/>
      <c r="C165" s="11"/>
      <c r="D165" s="11"/>
      <c r="E165" s="11"/>
      <c r="F165" s="11"/>
      <c r="G165" s="12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">
      <c r="A166" s="11"/>
      <c r="B166" s="11"/>
      <c r="C166" s="11"/>
      <c r="D166" s="11"/>
      <c r="E166" s="11"/>
      <c r="F166" s="11"/>
      <c r="G166" s="12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">
      <c r="A167" s="11"/>
      <c r="B167" s="11"/>
      <c r="C167" s="11"/>
      <c r="D167" s="11"/>
      <c r="E167" s="11"/>
      <c r="F167" s="11"/>
      <c r="G167" s="12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">
      <c r="A168" s="11"/>
      <c r="B168" s="11"/>
      <c r="C168" s="11"/>
      <c r="D168" s="11"/>
      <c r="E168" s="11"/>
      <c r="F168" s="11"/>
      <c r="G168" s="12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">
      <c r="A169" s="11"/>
      <c r="B169" s="11"/>
      <c r="C169" s="11"/>
      <c r="D169" s="11"/>
      <c r="E169" s="11"/>
      <c r="F169" s="11"/>
      <c r="G169" s="12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">
      <c r="A170" s="11"/>
      <c r="B170" s="11"/>
      <c r="C170" s="11"/>
      <c r="D170" s="11"/>
      <c r="E170" s="11"/>
      <c r="F170" s="11"/>
      <c r="G170" s="12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">
      <c r="A171" s="11"/>
      <c r="B171" s="11"/>
      <c r="C171" s="11"/>
      <c r="D171" s="11"/>
      <c r="E171" s="11"/>
      <c r="F171" s="11"/>
      <c r="G171" s="12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">
      <c r="A172" s="11"/>
      <c r="B172" s="11"/>
      <c r="C172" s="11"/>
      <c r="D172" s="11"/>
      <c r="E172" s="11"/>
      <c r="F172" s="11"/>
      <c r="G172" s="12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">
      <c r="A173" s="11"/>
      <c r="B173" s="11"/>
      <c r="C173" s="11"/>
      <c r="D173" s="11"/>
      <c r="E173" s="11"/>
      <c r="F173" s="11"/>
      <c r="G173" s="12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">
      <c r="A174" s="11"/>
      <c r="B174" s="11"/>
      <c r="C174" s="11"/>
      <c r="D174" s="11"/>
      <c r="E174" s="11"/>
      <c r="F174" s="11"/>
      <c r="G174" s="12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">
      <c r="A175" s="11"/>
      <c r="B175" s="11"/>
      <c r="C175" s="11"/>
      <c r="D175" s="11"/>
      <c r="E175" s="11"/>
      <c r="F175" s="11"/>
      <c r="G175" s="12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">
      <c r="A176" s="11"/>
      <c r="B176" s="11"/>
      <c r="C176" s="11"/>
      <c r="D176" s="11"/>
      <c r="E176" s="11"/>
      <c r="F176" s="11"/>
      <c r="G176" s="12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">
      <c r="A177" s="11"/>
      <c r="B177" s="11"/>
      <c r="C177" s="11"/>
      <c r="D177" s="11"/>
      <c r="E177" s="11"/>
      <c r="F177" s="11"/>
      <c r="G177" s="12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">
      <c r="A178" s="11"/>
      <c r="B178" s="11"/>
      <c r="C178" s="11"/>
      <c r="D178" s="11"/>
      <c r="E178" s="11"/>
      <c r="F178" s="11"/>
      <c r="G178" s="12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">
      <c r="A179" s="11"/>
      <c r="B179" s="11"/>
      <c r="C179" s="11"/>
      <c r="D179" s="11"/>
      <c r="E179" s="11"/>
      <c r="F179" s="11"/>
      <c r="G179" s="12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">
      <c r="A180" s="11"/>
      <c r="B180" s="11"/>
      <c r="C180" s="11"/>
      <c r="D180" s="11"/>
      <c r="E180" s="11"/>
      <c r="F180" s="11"/>
      <c r="G180" s="12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">
      <c r="A181" s="11"/>
      <c r="B181" s="11"/>
      <c r="C181" s="11"/>
      <c r="D181" s="11"/>
      <c r="E181" s="11"/>
      <c r="F181" s="11"/>
      <c r="G181" s="12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">
      <c r="A182" s="11"/>
      <c r="B182" s="11"/>
      <c r="C182" s="11"/>
      <c r="D182" s="11"/>
      <c r="E182" s="11"/>
      <c r="F182" s="11"/>
      <c r="G182" s="12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">
      <c r="A183" s="11"/>
      <c r="B183" s="11"/>
      <c r="C183" s="11"/>
      <c r="D183" s="11"/>
      <c r="E183" s="11"/>
      <c r="F183" s="11"/>
      <c r="G183" s="12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">
      <c r="A184" s="11"/>
      <c r="B184" s="11"/>
      <c r="C184" s="11"/>
      <c r="D184" s="11"/>
      <c r="E184" s="11"/>
      <c r="F184" s="11"/>
      <c r="G184" s="12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">
      <c r="A185" s="11"/>
      <c r="B185" s="11"/>
      <c r="C185" s="11"/>
      <c r="D185" s="11"/>
      <c r="E185" s="11"/>
      <c r="F185" s="11"/>
      <c r="G185" s="12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">
      <c r="A186" s="11"/>
      <c r="B186" s="11"/>
      <c r="C186" s="11"/>
      <c r="D186" s="11"/>
      <c r="E186" s="11"/>
      <c r="F186" s="11"/>
      <c r="G186" s="12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">
      <c r="A187" s="11"/>
      <c r="B187" s="11"/>
      <c r="C187" s="11"/>
      <c r="D187" s="11"/>
      <c r="E187" s="11"/>
      <c r="F187" s="11"/>
      <c r="G187" s="12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">
      <c r="A188" s="11"/>
      <c r="B188" s="11"/>
      <c r="C188" s="11"/>
      <c r="D188" s="11"/>
      <c r="E188" s="11"/>
      <c r="F188" s="11"/>
      <c r="G188" s="12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">
      <c r="A189" s="11"/>
      <c r="B189" s="11"/>
      <c r="C189" s="11"/>
      <c r="D189" s="11"/>
      <c r="E189" s="11"/>
      <c r="F189" s="11"/>
      <c r="G189" s="12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">
      <c r="A190" s="11"/>
      <c r="B190" s="11"/>
      <c r="C190" s="11"/>
      <c r="D190" s="11"/>
      <c r="E190" s="11"/>
      <c r="F190" s="11"/>
      <c r="G190" s="12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">
      <c r="A191" s="11"/>
      <c r="B191" s="11"/>
      <c r="C191" s="11"/>
      <c r="D191" s="11"/>
      <c r="E191" s="11"/>
      <c r="F191" s="11"/>
      <c r="G191" s="12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">
      <c r="A192" s="11"/>
      <c r="B192" s="11"/>
      <c r="C192" s="11"/>
      <c r="D192" s="11"/>
      <c r="E192" s="11"/>
      <c r="F192" s="11"/>
      <c r="G192" s="12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">
      <c r="A193" s="11"/>
      <c r="B193" s="11"/>
      <c r="C193" s="11"/>
      <c r="D193" s="11"/>
      <c r="E193" s="11"/>
      <c r="F193" s="11"/>
      <c r="G193" s="12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">
      <c r="A194" s="11"/>
      <c r="B194" s="11"/>
      <c r="C194" s="11"/>
      <c r="D194" s="11"/>
      <c r="E194" s="11"/>
      <c r="F194" s="11"/>
      <c r="G194" s="12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">
      <c r="A195" s="11"/>
      <c r="B195" s="11"/>
      <c r="C195" s="11"/>
      <c r="D195" s="11"/>
      <c r="E195" s="11"/>
      <c r="F195" s="11"/>
      <c r="G195" s="12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">
      <c r="A196" s="11"/>
      <c r="B196" s="11"/>
      <c r="C196" s="11"/>
      <c r="D196" s="11"/>
      <c r="E196" s="11"/>
      <c r="F196" s="11"/>
      <c r="G196" s="12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">
      <c r="A197" s="11"/>
      <c r="B197" s="11"/>
      <c r="C197" s="11"/>
      <c r="D197" s="11"/>
      <c r="E197" s="11"/>
      <c r="F197" s="11"/>
      <c r="G197" s="12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">
      <c r="A198" s="11"/>
      <c r="B198" s="11"/>
      <c r="C198" s="11"/>
      <c r="D198" s="11"/>
      <c r="E198" s="11"/>
      <c r="F198" s="11"/>
      <c r="G198" s="12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">
      <c r="A199" s="11"/>
      <c r="B199" s="11"/>
      <c r="C199" s="11"/>
      <c r="D199" s="11"/>
      <c r="E199" s="11"/>
      <c r="F199" s="11"/>
      <c r="G199" s="12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">
      <c r="A200" s="11"/>
      <c r="B200" s="11"/>
      <c r="C200" s="11"/>
      <c r="D200" s="11"/>
      <c r="E200" s="11"/>
      <c r="F200" s="11"/>
      <c r="G200" s="12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">
      <c r="A201" s="11"/>
      <c r="B201" s="11"/>
      <c r="C201" s="11"/>
      <c r="D201" s="11"/>
      <c r="E201" s="11"/>
      <c r="F201" s="11"/>
      <c r="G201" s="12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">
      <c r="A202" s="11"/>
      <c r="B202" s="11"/>
      <c r="C202" s="11"/>
      <c r="D202" s="11"/>
      <c r="E202" s="11"/>
      <c r="F202" s="11"/>
      <c r="G202" s="12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">
      <c r="A203" s="11"/>
      <c r="B203" s="11"/>
      <c r="C203" s="11"/>
      <c r="D203" s="11"/>
      <c r="E203" s="11"/>
      <c r="F203" s="11"/>
      <c r="G203" s="12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">
      <c r="A204" s="11"/>
      <c r="B204" s="11"/>
      <c r="C204" s="11"/>
      <c r="D204" s="11"/>
      <c r="E204" s="11"/>
      <c r="F204" s="11"/>
      <c r="G204" s="12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">
      <c r="A205" s="11"/>
      <c r="B205" s="11"/>
      <c r="C205" s="11"/>
      <c r="D205" s="11"/>
      <c r="E205" s="11"/>
      <c r="F205" s="11"/>
      <c r="G205" s="12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">
      <c r="A206" s="11"/>
      <c r="B206" s="11"/>
      <c r="C206" s="11"/>
      <c r="D206" s="11"/>
      <c r="E206" s="11"/>
      <c r="F206" s="11"/>
      <c r="G206" s="12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">
      <c r="A207" s="11"/>
      <c r="B207" s="11"/>
      <c r="C207" s="11"/>
      <c r="D207" s="11"/>
      <c r="E207" s="11"/>
      <c r="F207" s="11"/>
      <c r="G207" s="12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2">
      <c r="A208" s="11"/>
      <c r="B208" s="11"/>
      <c r="C208" s="11"/>
      <c r="D208" s="11"/>
      <c r="E208" s="11"/>
      <c r="F208" s="11"/>
      <c r="G208" s="12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">
      <c r="A209" s="11"/>
      <c r="B209" s="11"/>
      <c r="C209" s="11"/>
      <c r="D209" s="11"/>
      <c r="E209" s="11"/>
      <c r="F209" s="11"/>
      <c r="G209" s="12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2">
      <c r="A210" s="11"/>
      <c r="B210" s="11"/>
      <c r="C210" s="11"/>
      <c r="D210" s="11"/>
      <c r="E210" s="11"/>
      <c r="F210" s="11"/>
      <c r="G210" s="12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">
      <c r="A211" s="11"/>
      <c r="B211" s="11"/>
      <c r="C211" s="11"/>
      <c r="D211" s="11"/>
      <c r="E211" s="11"/>
      <c r="F211" s="11"/>
      <c r="G211" s="12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2">
      <c r="A212" s="11"/>
      <c r="B212" s="11"/>
      <c r="C212" s="11"/>
      <c r="D212" s="11"/>
      <c r="E212" s="11"/>
      <c r="F212" s="11"/>
      <c r="G212" s="12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">
      <c r="A213" s="11"/>
      <c r="B213" s="11"/>
      <c r="C213" s="11"/>
      <c r="D213" s="11"/>
      <c r="E213" s="11"/>
      <c r="F213" s="11"/>
      <c r="G213" s="12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2">
      <c r="A214" s="11"/>
      <c r="B214" s="11"/>
      <c r="C214" s="11"/>
      <c r="D214" s="11"/>
      <c r="E214" s="11"/>
      <c r="F214" s="11"/>
      <c r="G214" s="12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2">
      <c r="A215" s="11"/>
      <c r="B215" s="11"/>
      <c r="C215" s="11"/>
      <c r="D215" s="11"/>
      <c r="E215" s="11"/>
      <c r="F215" s="11"/>
      <c r="G215" s="12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2">
      <c r="A216" s="11"/>
      <c r="B216" s="11"/>
      <c r="C216" s="11"/>
      <c r="D216" s="11"/>
      <c r="E216" s="11"/>
      <c r="F216" s="11"/>
      <c r="G216" s="12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">
      <c r="A217" s="11"/>
      <c r="B217" s="11"/>
      <c r="C217" s="11"/>
      <c r="D217" s="11"/>
      <c r="E217" s="11"/>
      <c r="F217" s="11"/>
      <c r="G217" s="12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">
      <c r="A218" s="11"/>
      <c r="B218" s="11"/>
      <c r="C218" s="11"/>
      <c r="D218" s="11"/>
      <c r="E218" s="11"/>
      <c r="F218" s="11"/>
      <c r="G218" s="12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">
      <c r="A219" s="11"/>
      <c r="B219" s="11"/>
      <c r="C219" s="11"/>
      <c r="D219" s="11"/>
      <c r="E219" s="11"/>
      <c r="F219" s="11"/>
      <c r="G219" s="12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">
      <c r="A220" s="11"/>
      <c r="B220" s="11"/>
      <c r="C220" s="11"/>
      <c r="D220" s="11"/>
      <c r="E220" s="11"/>
      <c r="F220" s="11"/>
      <c r="G220" s="12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2">
      <c r="A221" s="11"/>
      <c r="B221" s="11"/>
      <c r="C221" s="11"/>
      <c r="D221" s="11"/>
      <c r="E221" s="11"/>
      <c r="F221" s="11"/>
      <c r="G221" s="12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">
      <c r="A222" s="11"/>
      <c r="B222" s="11"/>
      <c r="C222" s="11"/>
      <c r="D222" s="11"/>
      <c r="E222" s="11"/>
      <c r="F222" s="11"/>
      <c r="G222" s="12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">
      <c r="A223" s="11"/>
      <c r="B223" s="11"/>
      <c r="C223" s="11"/>
      <c r="D223" s="11"/>
      <c r="E223" s="11"/>
      <c r="F223" s="11"/>
      <c r="G223" s="12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">
      <c r="A224" s="11"/>
      <c r="B224" s="11"/>
      <c r="C224" s="11"/>
      <c r="D224" s="11"/>
      <c r="E224" s="11"/>
      <c r="F224" s="11"/>
      <c r="G224" s="12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">
      <c r="A225" s="11"/>
      <c r="B225" s="11"/>
      <c r="C225" s="11"/>
      <c r="D225" s="11"/>
      <c r="E225" s="11"/>
      <c r="F225" s="11"/>
      <c r="G225" s="12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">
      <c r="A226" s="11"/>
      <c r="B226" s="11"/>
      <c r="C226" s="11"/>
      <c r="D226" s="11"/>
      <c r="E226" s="11"/>
      <c r="F226" s="11"/>
      <c r="G226" s="12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2">
      <c r="A227" s="11"/>
      <c r="B227" s="11"/>
      <c r="C227" s="11"/>
      <c r="D227" s="11"/>
      <c r="E227" s="11"/>
      <c r="F227" s="11"/>
      <c r="G227" s="12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2">
      <c r="A228" s="11"/>
      <c r="B228" s="11"/>
      <c r="C228" s="11"/>
      <c r="D228" s="11"/>
      <c r="E228" s="11"/>
      <c r="F228" s="11"/>
      <c r="G228" s="12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2">
      <c r="A229" s="11"/>
      <c r="B229" s="11"/>
      <c r="C229" s="11"/>
      <c r="D229" s="11"/>
      <c r="E229" s="11"/>
      <c r="F229" s="11"/>
      <c r="G229" s="12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">
      <c r="A230" s="11"/>
      <c r="B230" s="11"/>
      <c r="C230" s="11"/>
      <c r="D230" s="11"/>
      <c r="E230" s="11"/>
      <c r="F230" s="11"/>
      <c r="G230" s="12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2">
      <c r="A231" s="11"/>
      <c r="B231" s="11"/>
      <c r="C231" s="11"/>
      <c r="D231" s="11"/>
      <c r="E231" s="11"/>
      <c r="F231" s="11"/>
      <c r="G231" s="12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2">
      <c r="A232" s="11"/>
      <c r="B232" s="11"/>
      <c r="C232" s="11"/>
      <c r="D232" s="11"/>
      <c r="E232" s="11"/>
      <c r="F232" s="11"/>
      <c r="G232" s="12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2">
      <c r="A233" s="11"/>
      <c r="B233" s="11"/>
      <c r="C233" s="11"/>
      <c r="D233" s="11"/>
      <c r="E233" s="11"/>
      <c r="F233" s="11"/>
      <c r="G233" s="12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2">
      <c r="A234" s="11"/>
      <c r="B234" s="11"/>
      <c r="C234" s="11"/>
      <c r="D234" s="11"/>
      <c r="E234" s="11"/>
      <c r="F234" s="11"/>
      <c r="G234" s="12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2">
      <c r="A235" s="11"/>
      <c r="B235" s="11"/>
      <c r="C235" s="11"/>
      <c r="D235" s="11"/>
      <c r="E235" s="11"/>
      <c r="F235" s="11"/>
      <c r="G235" s="12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2">
      <c r="A236" s="11"/>
      <c r="B236" s="11"/>
      <c r="C236" s="11"/>
      <c r="D236" s="11"/>
      <c r="E236" s="11"/>
      <c r="F236" s="11"/>
      <c r="G236" s="12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2">
      <c r="A237" s="11"/>
      <c r="B237" s="11"/>
      <c r="C237" s="11"/>
      <c r="D237" s="11"/>
      <c r="E237" s="11"/>
      <c r="F237" s="11"/>
      <c r="G237" s="12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2">
      <c r="A238" s="11"/>
      <c r="B238" s="11"/>
      <c r="C238" s="11"/>
      <c r="D238" s="11"/>
      <c r="E238" s="11"/>
      <c r="F238" s="11"/>
      <c r="G238" s="12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2">
      <c r="A239" s="11"/>
      <c r="B239" s="11"/>
      <c r="C239" s="11"/>
      <c r="D239" s="11"/>
      <c r="E239" s="11"/>
      <c r="F239" s="11"/>
      <c r="G239" s="12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2">
      <c r="A240" s="11"/>
      <c r="B240" s="11"/>
      <c r="C240" s="11"/>
      <c r="D240" s="11"/>
      <c r="E240" s="11"/>
      <c r="F240" s="11"/>
      <c r="G240" s="12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2">
      <c r="A241" s="11"/>
      <c r="B241" s="11"/>
      <c r="C241" s="11"/>
      <c r="D241" s="11"/>
      <c r="E241" s="11"/>
      <c r="F241" s="11"/>
      <c r="G241" s="12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">
      <c r="A242" s="11"/>
      <c r="B242" s="11"/>
      <c r="C242" s="11"/>
      <c r="D242" s="11"/>
      <c r="E242" s="11"/>
      <c r="F242" s="11"/>
      <c r="G242" s="12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2">
      <c r="A243" s="11"/>
      <c r="B243" s="11"/>
      <c r="C243" s="11"/>
      <c r="D243" s="11"/>
      <c r="E243" s="11"/>
      <c r="F243" s="11"/>
      <c r="G243" s="12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">
      <c r="A244" s="11"/>
      <c r="B244" s="11"/>
      <c r="C244" s="11"/>
      <c r="D244" s="11"/>
      <c r="E244" s="11"/>
      <c r="F244" s="11"/>
      <c r="G244" s="12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2">
      <c r="A245" s="11"/>
      <c r="B245" s="11"/>
      <c r="C245" s="11"/>
      <c r="D245" s="11"/>
      <c r="E245" s="11"/>
      <c r="F245" s="11"/>
      <c r="G245" s="12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">
      <c r="A246" s="11"/>
      <c r="B246" s="11"/>
      <c r="C246" s="11"/>
      <c r="D246" s="11"/>
      <c r="E246" s="11"/>
      <c r="F246" s="11"/>
      <c r="G246" s="12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2">
      <c r="A247" s="11"/>
      <c r="B247" s="11"/>
      <c r="C247" s="11"/>
      <c r="D247" s="11"/>
      <c r="E247" s="11"/>
      <c r="F247" s="11"/>
      <c r="G247" s="12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2">
      <c r="A248" s="11"/>
      <c r="B248" s="11"/>
      <c r="C248" s="11"/>
      <c r="D248" s="11"/>
      <c r="E248" s="11"/>
      <c r="F248" s="11"/>
      <c r="G248" s="12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">
      <c r="A249" s="11"/>
      <c r="B249" s="11"/>
      <c r="C249" s="11"/>
      <c r="D249" s="11"/>
      <c r="E249" s="11"/>
      <c r="F249" s="11"/>
      <c r="G249" s="12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2">
      <c r="A250" s="11"/>
      <c r="B250" s="11"/>
      <c r="C250" s="11"/>
      <c r="D250" s="11"/>
      <c r="E250" s="11"/>
      <c r="F250" s="11"/>
      <c r="G250" s="12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2">
      <c r="A251" s="11"/>
      <c r="B251" s="11"/>
      <c r="C251" s="11"/>
      <c r="D251" s="11"/>
      <c r="E251" s="11"/>
      <c r="F251" s="11"/>
      <c r="G251" s="12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2">
      <c r="A252" s="11"/>
      <c r="B252" s="11"/>
      <c r="C252" s="11"/>
      <c r="D252" s="11"/>
      <c r="E252" s="11"/>
      <c r="F252" s="11"/>
      <c r="G252" s="12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">
      <c r="A253" s="11"/>
      <c r="B253" s="11"/>
      <c r="C253" s="11"/>
      <c r="D253" s="11"/>
      <c r="E253" s="11"/>
      <c r="F253" s="11"/>
      <c r="G253" s="12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2">
      <c r="A254" s="11"/>
      <c r="B254" s="11"/>
      <c r="C254" s="11"/>
      <c r="D254" s="11"/>
      <c r="E254" s="11"/>
      <c r="F254" s="11"/>
      <c r="G254" s="12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">
      <c r="A255" s="11"/>
      <c r="B255" s="11"/>
      <c r="C255" s="11"/>
      <c r="D255" s="11"/>
      <c r="E255" s="11"/>
      <c r="F255" s="11"/>
      <c r="G255" s="12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2">
      <c r="A256" s="11"/>
      <c r="B256" s="11"/>
      <c r="C256" s="11"/>
      <c r="D256" s="11"/>
      <c r="E256" s="11"/>
      <c r="F256" s="11"/>
      <c r="G256" s="12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">
      <c r="A257" s="11"/>
      <c r="B257" s="11"/>
      <c r="C257" s="11"/>
      <c r="D257" s="11"/>
      <c r="E257" s="11"/>
      <c r="F257" s="11"/>
      <c r="G257" s="12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">
      <c r="A258" s="11"/>
      <c r="B258" s="11"/>
      <c r="C258" s="11"/>
      <c r="D258" s="11"/>
      <c r="E258" s="11"/>
      <c r="F258" s="11"/>
      <c r="G258" s="12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2">
      <c r="A259" s="11"/>
      <c r="B259" s="11"/>
      <c r="C259" s="11"/>
      <c r="D259" s="11"/>
      <c r="E259" s="11"/>
      <c r="F259" s="11"/>
      <c r="G259" s="12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2">
      <c r="A260" s="11"/>
      <c r="B260" s="11"/>
      <c r="C260" s="11"/>
      <c r="D260" s="11"/>
      <c r="E260" s="11"/>
      <c r="F260" s="11"/>
      <c r="G260" s="12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2">
      <c r="A261" s="11"/>
      <c r="B261" s="11"/>
      <c r="C261" s="11"/>
      <c r="D261" s="11"/>
      <c r="E261" s="11"/>
      <c r="F261" s="11"/>
      <c r="G261" s="12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2">
      <c r="A262" s="11"/>
      <c r="B262" s="11"/>
      <c r="C262" s="11"/>
      <c r="D262" s="11"/>
      <c r="E262" s="11"/>
      <c r="F262" s="11"/>
      <c r="G262" s="12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2">
      <c r="A263" s="11"/>
      <c r="B263" s="11"/>
      <c r="C263" s="11"/>
      <c r="D263" s="11"/>
      <c r="E263" s="11"/>
      <c r="F263" s="11"/>
      <c r="G263" s="12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2">
      <c r="A264" s="11"/>
      <c r="B264" s="11"/>
      <c r="C264" s="11"/>
      <c r="D264" s="11"/>
      <c r="E264" s="11"/>
      <c r="F264" s="11"/>
      <c r="G264" s="12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">
      <c r="A265" s="11"/>
      <c r="B265" s="11"/>
      <c r="C265" s="11"/>
      <c r="D265" s="11"/>
      <c r="E265" s="11"/>
      <c r="F265" s="11"/>
      <c r="G265" s="12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2">
      <c r="A266" s="11"/>
      <c r="B266" s="11"/>
      <c r="C266" s="11"/>
      <c r="D266" s="11"/>
      <c r="E266" s="11"/>
      <c r="F266" s="11"/>
      <c r="G266" s="12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2">
      <c r="A267" s="11"/>
      <c r="B267" s="11"/>
      <c r="C267" s="11"/>
      <c r="D267" s="11"/>
      <c r="E267" s="11"/>
      <c r="F267" s="11"/>
      <c r="G267" s="12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2">
      <c r="A268" s="11"/>
      <c r="B268" s="11"/>
      <c r="C268" s="11"/>
      <c r="D268" s="11"/>
      <c r="E268" s="11"/>
      <c r="F268" s="11"/>
      <c r="G268" s="12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">
      <c r="A269" s="11"/>
      <c r="B269" s="11"/>
      <c r="C269" s="11"/>
      <c r="D269" s="11"/>
      <c r="E269" s="11"/>
      <c r="F269" s="11"/>
      <c r="G269" s="12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">
      <c r="A270" s="11"/>
      <c r="B270" s="11"/>
      <c r="C270" s="11"/>
      <c r="D270" s="11"/>
      <c r="E270" s="11"/>
      <c r="F270" s="11"/>
      <c r="G270" s="12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">
      <c r="A271" s="11"/>
      <c r="B271" s="11"/>
      <c r="C271" s="11"/>
      <c r="D271" s="11"/>
      <c r="E271" s="11"/>
      <c r="F271" s="11"/>
      <c r="G271" s="12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2">
      <c r="A272" s="11"/>
      <c r="B272" s="11"/>
      <c r="C272" s="11"/>
      <c r="D272" s="11"/>
      <c r="E272" s="11"/>
      <c r="F272" s="11"/>
      <c r="G272" s="1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2">
      <c r="A273" s="11"/>
      <c r="B273" s="11"/>
      <c r="C273" s="11"/>
      <c r="D273" s="11"/>
      <c r="E273" s="11"/>
      <c r="F273" s="11"/>
      <c r="G273" s="12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2">
      <c r="A274" s="11"/>
      <c r="B274" s="11"/>
      <c r="C274" s="11"/>
      <c r="D274" s="11"/>
      <c r="E274" s="11"/>
      <c r="F274" s="11"/>
      <c r="G274" s="12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2">
      <c r="A275" s="11"/>
      <c r="B275" s="11"/>
      <c r="C275" s="11"/>
      <c r="D275" s="11"/>
      <c r="E275" s="11"/>
      <c r="F275" s="11"/>
      <c r="G275" s="12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2">
      <c r="A276" s="11"/>
      <c r="B276" s="11"/>
      <c r="C276" s="11"/>
      <c r="D276" s="11"/>
      <c r="E276" s="11"/>
      <c r="F276" s="11"/>
      <c r="G276" s="12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2">
      <c r="A277" s="11"/>
      <c r="B277" s="11"/>
      <c r="C277" s="11"/>
      <c r="D277" s="11"/>
      <c r="E277" s="11"/>
      <c r="F277" s="11"/>
      <c r="G277" s="12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2">
      <c r="A278" s="11"/>
      <c r="B278" s="11"/>
      <c r="C278" s="11"/>
      <c r="D278" s="11"/>
      <c r="E278" s="11"/>
      <c r="F278" s="11"/>
      <c r="G278" s="12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2">
      <c r="A279" s="11"/>
      <c r="B279" s="11"/>
      <c r="C279" s="11"/>
      <c r="D279" s="11"/>
      <c r="E279" s="11"/>
      <c r="F279" s="11"/>
      <c r="G279" s="12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2">
      <c r="A280" s="11"/>
      <c r="B280" s="11"/>
      <c r="C280" s="11"/>
      <c r="D280" s="11"/>
      <c r="E280" s="11"/>
      <c r="F280" s="11"/>
      <c r="G280" s="12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2">
      <c r="A281" s="11"/>
      <c r="B281" s="11"/>
      <c r="C281" s="11"/>
      <c r="D281" s="11"/>
      <c r="E281" s="11"/>
      <c r="F281" s="11"/>
      <c r="G281" s="12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2">
      <c r="A282" s="11"/>
      <c r="B282" s="11"/>
      <c r="C282" s="11"/>
      <c r="D282" s="11"/>
      <c r="E282" s="11"/>
      <c r="F282" s="11"/>
      <c r="G282" s="12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">
      <c r="A283" s="11"/>
      <c r="B283" s="11"/>
      <c r="C283" s="11"/>
      <c r="D283" s="11"/>
      <c r="E283" s="11"/>
      <c r="F283" s="11"/>
      <c r="G283" s="12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2">
      <c r="A284" s="11"/>
      <c r="B284" s="11"/>
      <c r="C284" s="11"/>
      <c r="D284" s="11"/>
      <c r="E284" s="11"/>
      <c r="F284" s="11"/>
      <c r="G284" s="12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2">
      <c r="A285" s="11"/>
      <c r="B285" s="11"/>
      <c r="C285" s="11"/>
      <c r="D285" s="11"/>
      <c r="E285" s="11"/>
      <c r="F285" s="11"/>
      <c r="G285" s="12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">
      <c r="A286" s="11"/>
      <c r="B286" s="11"/>
      <c r="C286" s="11"/>
      <c r="D286" s="11"/>
      <c r="E286" s="11"/>
      <c r="F286" s="11"/>
      <c r="G286" s="12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">
      <c r="A287" s="11"/>
      <c r="B287" s="11"/>
      <c r="C287" s="11"/>
      <c r="D287" s="11"/>
      <c r="E287" s="11"/>
      <c r="F287" s="11"/>
      <c r="G287" s="12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2">
      <c r="A288" s="11"/>
      <c r="B288" s="11"/>
      <c r="C288" s="11"/>
      <c r="D288" s="11"/>
      <c r="E288" s="11"/>
      <c r="F288" s="11"/>
      <c r="G288" s="12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2">
      <c r="A289" s="11"/>
      <c r="B289" s="11"/>
      <c r="C289" s="11"/>
      <c r="D289" s="11"/>
      <c r="E289" s="11"/>
      <c r="F289" s="11"/>
      <c r="G289" s="12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2">
      <c r="A290" s="11"/>
      <c r="B290" s="11"/>
      <c r="C290" s="11"/>
      <c r="D290" s="11"/>
      <c r="E290" s="11"/>
      <c r="F290" s="11"/>
      <c r="G290" s="12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">
      <c r="A291" s="11"/>
      <c r="B291" s="11"/>
      <c r="C291" s="11"/>
      <c r="D291" s="11"/>
      <c r="E291" s="11"/>
      <c r="F291" s="11"/>
      <c r="G291" s="12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2">
      <c r="A292" s="11"/>
      <c r="B292" s="11"/>
      <c r="C292" s="11"/>
      <c r="D292" s="11"/>
      <c r="E292" s="11"/>
      <c r="F292" s="11"/>
      <c r="G292" s="12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">
      <c r="A293" s="11"/>
      <c r="B293" s="11"/>
      <c r="C293" s="11"/>
      <c r="D293" s="11"/>
      <c r="E293" s="11"/>
      <c r="F293" s="11"/>
      <c r="G293" s="12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2">
      <c r="A294" s="11"/>
      <c r="B294" s="11"/>
      <c r="C294" s="11"/>
      <c r="D294" s="11"/>
      <c r="E294" s="11"/>
      <c r="F294" s="11"/>
      <c r="G294" s="12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2">
      <c r="A295" s="11"/>
      <c r="B295" s="11"/>
      <c r="C295" s="11"/>
      <c r="D295" s="11"/>
      <c r="E295" s="11"/>
      <c r="F295" s="11"/>
      <c r="G295" s="12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2">
      <c r="A296" s="11"/>
      <c r="B296" s="11"/>
      <c r="C296" s="11"/>
      <c r="D296" s="11"/>
      <c r="E296" s="11"/>
      <c r="F296" s="11"/>
      <c r="G296" s="12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2">
      <c r="A297" s="11"/>
      <c r="B297" s="11"/>
      <c r="C297" s="11"/>
      <c r="D297" s="11"/>
      <c r="E297" s="11"/>
      <c r="F297" s="11"/>
      <c r="G297" s="12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2">
      <c r="A298" s="11"/>
      <c r="B298" s="11"/>
      <c r="C298" s="11"/>
      <c r="D298" s="11"/>
      <c r="E298" s="11"/>
      <c r="F298" s="11"/>
      <c r="G298" s="12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2">
      <c r="A299" s="11"/>
      <c r="B299" s="11"/>
      <c r="C299" s="11"/>
      <c r="D299" s="11"/>
      <c r="E299" s="11"/>
      <c r="F299" s="11"/>
      <c r="G299" s="12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2">
      <c r="A300" s="11"/>
      <c r="B300" s="11"/>
      <c r="C300" s="11"/>
      <c r="D300" s="11"/>
      <c r="E300" s="11"/>
      <c r="F300" s="11"/>
      <c r="G300" s="12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2">
      <c r="A301" s="11"/>
      <c r="B301" s="11"/>
      <c r="C301" s="11"/>
      <c r="D301" s="11"/>
      <c r="E301" s="11"/>
      <c r="F301" s="11"/>
      <c r="G301" s="12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2">
      <c r="A302" s="11"/>
      <c r="B302" s="11"/>
      <c r="C302" s="11"/>
      <c r="D302" s="11"/>
      <c r="E302" s="11"/>
      <c r="F302" s="11"/>
      <c r="G302" s="12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2">
      <c r="A303" s="11"/>
      <c r="B303" s="11"/>
      <c r="C303" s="11"/>
      <c r="D303" s="11"/>
      <c r="E303" s="11"/>
      <c r="F303" s="11"/>
      <c r="G303" s="1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2">
      <c r="A304" s="11"/>
      <c r="B304" s="11"/>
      <c r="C304" s="11"/>
      <c r="D304" s="11"/>
      <c r="E304" s="11"/>
      <c r="F304" s="11"/>
      <c r="G304" s="1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2">
      <c r="A305" s="11"/>
      <c r="B305" s="11"/>
      <c r="C305" s="11"/>
      <c r="D305" s="11"/>
      <c r="E305" s="11"/>
      <c r="F305" s="11"/>
      <c r="G305" s="1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2">
      <c r="A306" s="11"/>
      <c r="B306" s="11"/>
      <c r="C306" s="11"/>
      <c r="D306" s="11"/>
      <c r="E306" s="11"/>
      <c r="F306" s="11"/>
      <c r="G306" s="1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2">
      <c r="A307" s="11"/>
      <c r="B307" s="11"/>
      <c r="C307" s="11"/>
      <c r="D307" s="11"/>
      <c r="E307" s="11"/>
      <c r="F307" s="11"/>
      <c r="G307" s="1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2">
      <c r="A308" s="11"/>
      <c r="B308" s="11"/>
      <c r="C308" s="11"/>
      <c r="D308" s="11"/>
      <c r="E308" s="11"/>
      <c r="F308" s="11"/>
      <c r="G308" s="1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2">
      <c r="A309" s="11"/>
      <c r="B309" s="11"/>
      <c r="C309" s="11"/>
      <c r="D309" s="11"/>
      <c r="E309" s="11"/>
      <c r="F309" s="11"/>
      <c r="G309" s="1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2">
      <c r="A310" s="11"/>
      <c r="B310" s="11"/>
      <c r="C310" s="11"/>
      <c r="D310" s="11"/>
      <c r="E310" s="11"/>
      <c r="F310" s="11"/>
      <c r="G310" s="1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2">
      <c r="A311" s="11"/>
      <c r="B311" s="11"/>
      <c r="C311" s="11"/>
      <c r="D311" s="11"/>
      <c r="E311" s="11"/>
      <c r="F311" s="11"/>
      <c r="G311" s="1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2">
      <c r="A312" s="11"/>
      <c r="B312" s="11"/>
      <c r="C312" s="11"/>
      <c r="D312" s="11"/>
      <c r="E312" s="11"/>
      <c r="F312" s="11"/>
      <c r="G312" s="1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2">
      <c r="A313" s="11"/>
      <c r="B313" s="11"/>
      <c r="C313" s="11"/>
      <c r="D313" s="11"/>
      <c r="E313" s="11"/>
      <c r="F313" s="11"/>
      <c r="G313" s="1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2">
      <c r="A314" s="11"/>
      <c r="B314" s="11"/>
      <c r="C314" s="11"/>
      <c r="D314" s="11"/>
      <c r="E314" s="11"/>
      <c r="F314" s="11"/>
      <c r="G314" s="1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2">
      <c r="A315" s="11"/>
      <c r="B315" s="11"/>
      <c r="C315" s="11"/>
      <c r="D315" s="11"/>
      <c r="E315" s="11"/>
      <c r="F315" s="11"/>
      <c r="G315" s="1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2">
      <c r="A316" s="11"/>
      <c r="B316" s="11"/>
      <c r="C316" s="11"/>
      <c r="D316" s="11"/>
      <c r="E316" s="11"/>
      <c r="F316" s="11"/>
      <c r="G316" s="1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2">
      <c r="A317" s="11"/>
      <c r="B317" s="11"/>
      <c r="C317" s="11"/>
      <c r="D317" s="11"/>
      <c r="E317" s="11"/>
      <c r="F317" s="11"/>
      <c r="G317" s="1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2">
      <c r="A318" s="11"/>
      <c r="B318" s="11"/>
      <c r="C318" s="11"/>
      <c r="D318" s="11"/>
      <c r="E318" s="11"/>
      <c r="F318" s="11"/>
      <c r="G318" s="1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2">
      <c r="A319" s="11"/>
      <c r="B319" s="11"/>
      <c r="C319" s="11"/>
      <c r="D319" s="11"/>
      <c r="E319" s="11"/>
      <c r="F319" s="11"/>
      <c r="G319" s="1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2">
      <c r="A320" s="11"/>
      <c r="B320" s="11"/>
      <c r="C320" s="11"/>
      <c r="D320" s="11"/>
      <c r="E320" s="11"/>
      <c r="F320" s="11"/>
      <c r="G320" s="1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2">
      <c r="A321" s="11"/>
      <c r="B321" s="11"/>
      <c r="C321" s="11"/>
      <c r="D321" s="11"/>
      <c r="E321" s="11"/>
      <c r="F321" s="11"/>
      <c r="G321" s="1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2">
      <c r="A322" s="11"/>
      <c r="B322" s="11"/>
      <c r="C322" s="11"/>
      <c r="D322" s="11"/>
      <c r="E322" s="11"/>
      <c r="F322" s="11"/>
      <c r="G322" s="1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2">
      <c r="A323" s="11"/>
      <c r="B323" s="11"/>
      <c r="C323" s="11"/>
      <c r="D323" s="11"/>
      <c r="E323" s="11"/>
      <c r="F323" s="11"/>
      <c r="G323" s="1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2">
      <c r="A324" s="11"/>
      <c r="B324" s="11"/>
      <c r="C324" s="11"/>
      <c r="D324" s="11"/>
      <c r="E324" s="11"/>
      <c r="F324" s="11"/>
      <c r="G324" s="1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2">
      <c r="A325" s="11"/>
      <c r="B325" s="11"/>
      <c r="C325" s="11"/>
      <c r="D325" s="11"/>
      <c r="E325" s="11"/>
      <c r="F325" s="11"/>
      <c r="G325" s="1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2">
      <c r="A326" s="11"/>
      <c r="B326" s="11"/>
      <c r="C326" s="11"/>
      <c r="D326" s="11"/>
      <c r="E326" s="11"/>
      <c r="F326" s="11"/>
      <c r="G326" s="1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2">
      <c r="A327" s="11"/>
      <c r="B327" s="11"/>
      <c r="C327" s="11"/>
      <c r="D327" s="11"/>
      <c r="E327" s="11"/>
      <c r="F327" s="11"/>
      <c r="G327" s="1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2">
      <c r="A328" s="11"/>
      <c r="B328" s="11"/>
      <c r="C328" s="11"/>
      <c r="D328" s="11"/>
      <c r="E328" s="11"/>
      <c r="F328" s="11"/>
      <c r="G328" s="1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2">
      <c r="A329" s="11"/>
      <c r="B329" s="11"/>
      <c r="C329" s="11"/>
      <c r="D329" s="11"/>
      <c r="E329" s="11"/>
      <c r="F329" s="11"/>
      <c r="G329" s="1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2">
      <c r="A330" s="11"/>
      <c r="B330" s="11"/>
      <c r="C330" s="11"/>
      <c r="D330" s="11"/>
      <c r="E330" s="11"/>
      <c r="F330" s="11"/>
      <c r="G330" s="1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2">
      <c r="A331" s="11"/>
      <c r="B331" s="11"/>
      <c r="C331" s="11"/>
      <c r="D331" s="11"/>
      <c r="E331" s="11"/>
      <c r="F331" s="11"/>
      <c r="G331" s="1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2">
      <c r="A332" s="11"/>
      <c r="B332" s="11"/>
      <c r="C332" s="11"/>
      <c r="D332" s="11"/>
      <c r="E332" s="11"/>
      <c r="F332" s="11"/>
      <c r="G332" s="1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2">
      <c r="A333" s="11"/>
      <c r="B333" s="11"/>
      <c r="C333" s="11"/>
      <c r="D333" s="11"/>
      <c r="E333" s="11"/>
      <c r="F333" s="11"/>
      <c r="G333" s="1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2">
      <c r="A334" s="11"/>
      <c r="B334" s="11"/>
      <c r="C334" s="11"/>
      <c r="D334" s="11"/>
      <c r="E334" s="11"/>
      <c r="F334" s="11"/>
      <c r="G334" s="1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2">
      <c r="A335" s="11"/>
      <c r="B335" s="11"/>
      <c r="C335" s="11"/>
      <c r="D335" s="11"/>
      <c r="E335" s="11"/>
      <c r="F335" s="11"/>
      <c r="G335" s="1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2">
      <c r="A336" s="11"/>
      <c r="B336" s="11"/>
      <c r="C336" s="11"/>
      <c r="D336" s="11"/>
      <c r="E336" s="11"/>
      <c r="F336" s="11"/>
      <c r="G336" s="1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2">
      <c r="A337" s="11"/>
      <c r="B337" s="11"/>
      <c r="C337" s="11"/>
      <c r="D337" s="11"/>
      <c r="E337" s="11"/>
      <c r="F337" s="11"/>
      <c r="G337" s="1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2">
      <c r="A338" s="11"/>
      <c r="B338" s="11"/>
      <c r="C338" s="11"/>
      <c r="D338" s="11"/>
      <c r="E338" s="11"/>
      <c r="F338" s="11"/>
      <c r="G338" s="1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2">
      <c r="A339" s="11"/>
      <c r="B339" s="11"/>
      <c r="C339" s="11"/>
      <c r="D339" s="11"/>
      <c r="E339" s="11"/>
      <c r="F339" s="11"/>
      <c r="G339" s="1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2">
      <c r="A340" s="11"/>
      <c r="B340" s="11"/>
      <c r="C340" s="11"/>
      <c r="D340" s="11"/>
      <c r="E340" s="11"/>
      <c r="F340" s="11"/>
      <c r="G340" s="1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2">
      <c r="A341" s="11"/>
      <c r="B341" s="11"/>
      <c r="C341" s="11"/>
      <c r="D341" s="11"/>
      <c r="E341" s="11"/>
      <c r="F341" s="11"/>
      <c r="G341" s="1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2">
      <c r="A342" s="11"/>
      <c r="B342" s="11"/>
      <c r="C342" s="11"/>
      <c r="D342" s="11"/>
      <c r="E342" s="11"/>
      <c r="F342" s="11"/>
      <c r="G342" s="1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2">
      <c r="A343" s="11"/>
      <c r="B343" s="11"/>
      <c r="C343" s="11"/>
      <c r="D343" s="11"/>
      <c r="E343" s="11"/>
      <c r="F343" s="11"/>
      <c r="G343" s="1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2">
      <c r="A344" s="11"/>
      <c r="B344" s="11"/>
      <c r="C344" s="11"/>
      <c r="D344" s="11"/>
      <c r="E344" s="11"/>
      <c r="F344" s="11"/>
      <c r="G344" s="1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2">
      <c r="A345" s="11"/>
      <c r="B345" s="11"/>
      <c r="C345" s="11"/>
      <c r="D345" s="11"/>
      <c r="E345" s="11"/>
      <c r="F345" s="11"/>
      <c r="G345" s="1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2">
      <c r="A346" s="11"/>
      <c r="B346" s="11"/>
      <c r="C346" s="11"/>
      <c r="D346" s="11"/>
      <c r="E346" s="11"/>
      <c r="F346" s="11"/>
      <c r="G346" s="1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2">
      <c r="A347" s="11"/>
      <c r="B347" s="11"/>
      <c r="C347" s="11"/>
      <c r="D347" s="11"/>
      <c r="E347" s="11"/>
      <c r="F347" s="11"/>
      <c r="G347" s="1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2">
      <c r="A348" s="11"/>
      <c r="B348" s="11"/>
      <c r="C348" s="11"/>
      <c r="D348" s="11"/>
      <c r="E348" s="11"/>
      <c r="F348" s="11"/>
      <c r="G348" s="1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2">
      <c r="A349" s="11"/>
      <c r="B349" s="11"/>
      <c r="C349" s="11"/>
      <c r="D349" s="11"/>
      <c r="E349" s="11"/>
      <c r="F349" s="11"/>
      <c r="G349" s="1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2">
      <c r="A350" s="11"/>
      <c r="B350" s="11"/>
      <c r="C350" s="11"/>
      <c r="D350" s="11"/>
      <c r="E350" s="11"/>
      <c r="F350" s="11"/>
      <c r="G350" s="1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2">
      <c r="A351" s="11"/>
      <c r="B351" s="11"/>
      <c r="C351" s="11"/>
      <c r="D351" s="11"/>
      <c r="E351" s="11"/>
      <c r="F351" s="11"/>
      <c r="G351" s="1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2">
      <c r="A352" s="11"/>
      <c r="B352" s="11"/>
      <c r="C352" s="11"/>
      <c r="D352" s="11"/>
      <c r="E352" s="11"/>
      <c r="F352" s="11"/>
      <c r="G352" s="1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2">
      <c r="A353" s="11"/>
      <c r="B353" s="11"/>
      <c r="C353" s="11"/>
      <c r="D353" s="11"/>
      <c r="E353" s="11"/>
      <c r="F353" s="11"/>
      <c r="G353" s="1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2">
      <c r="A354" s="11"/>
      <c r="B354" s="11"/>
      <c r="C354" s="11"/>
      <c r="D354" s="11"/>
      <c r="E354" s="11"/>
      <c r="F354" s="11"/>
      <c r="G354" s="1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2">
      <c r="A355" s="11"/>
      <c r="B355" s="11"/>
      <c r="C355" s="11"/>
      <c r="D355" s="11"/>
      <c r="E355" s="11"/>
      <c r="F355" s="11"/>
      <c r="G355" s="1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2">
      <c r="A356" s="11"/>
      <c r="B356" s="11"/>
      <c r="C356" s="11"/>
      <c r="D356" s="11"/>
      <c r="E356" s="11"/>
      <c r="F356" s="11"/>
      <c r="G356" s="1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2">
      <c r="A357" s="11"/>
      <c r="B357" s="11"/>
      <c r="C357" s="11"/>
      <c r="D357" s="11"/>
      <c r="E357" s="11"/>
      <c r="F357" s="11"/>
      <c r="G357" s="1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2">
      <c r="A358" s="11"/>
      <c r="B358" s="11"/>
      <c r="C358" s="11"/>
      <c r="D358" s="11"/>
      <c r="E358" s="11"/>
      <c r="F358" s="11"/>
      <c r="G358" s="1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2">
      <c r="A359" s="11"/>
      <c r="B359" s="11"/>
      <c r="C359" s="11"/>
      <c r="D359" s="11"/>
      <c r="E359" s="11"/>
      <c r="F359" s="11"/>
      <c r="G359" s="1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2">
      <c r="A360" s="11"/>
      <c r="B360" s="11"/>
      <c r="C360" s="11"/>
      <c r="D360" s="11"/>
      <c r="E360" s="11"/>
      <c r="F360" s="11"/>
      <c r="G360" s="1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2">
      <c r="A361" s="11"/>
      <c r="B361" s="11"/>
      <c r="C361" s="11"/>
      <c r="D361" s="11"/>
      <c r="E361" s="11"/>
      <c r="F361" s="11"/>
      <c r="G361" s="1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2">
      <c r="A362" s="11"/>
      <c r="B362" s="11"/>
      <c r="C362" s="11"/>
      <c r="D362" s="11"/>
      <c r="E362" s="11"/>
      <c r="F362" s="11"/>
      <c r="G362" s="1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2">
      <c r="A363" s="11"/>
      <c r="B363" s="11"/>
      <c r="C363" s="11"/>
      <c r="D363" s="11"/>
      <c r="E363" s="11"/>
      <c r="F363" s="11"/>
      <c r="G363" s="1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2">
      <c r="A364" s="11"/>
      <c r="B364" s="11"/>
      <c r="C364" s="11"/>
      <c r="D364" s="11"/>
      <c r="E364" s="11"/>
      <c r="F364" s="11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2">
      <c r="A365" s="11"/>
      <c r="B365" s="11"/>
      <c r="C365" s="11"/>
      <c r="D365" s="11"/>
      <c r="E365" s="11"/>
      <c r="F365" s="11"/>
      <c r="G365" s="1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2">
      <c r="A366" s="11"/>
      <c r="B366" s="11"/>
      <c r="C366" s="11"/>
      <c r="D366" s="11"/>
      <c r="E366" s="11"/>
      <c r="F366" s="11"/>
      <c r="G366" s="1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2">
      <c r="A367" s="11"/>
      <c r="B367" s="11"/>
      <c r="C367" s="11"/>
      <c r="D367" s="11"/>
      <c r="E367" s="11"/>
      <c r="F367" s="11"/>
      <c r="G367" s="1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2">
      <c r="A368" s="11"/>
      <c r="B368" s="11"/>
      <c r="C368" s="11"/>
      <c r="D368" s="11"/>
      <c r="E368" s="11"/>
      <c r="F368" s="11"/>
      <c r="G368" s="1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2">
      <c r="A369" s="11"/>
      <c r="B369" s="11"/>
      <c r="C369" s="11"/>
      <c r="D369" s="11"/>
      <c r="E369" s="11"/>
      <c r="F369" s="11"/>
      <c r="G369" s="1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2">
      <c r="A370" s="11"/>
      <c r="B370" s="11"/>
      <c r="C370" s="11"/>
      <c r="D370" s="11"/>
      <c r="E370" s="11"/>
      <c r="F370" s="11"/>
      <c r="G370" s="1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2">
      <c r="A371" s="11"/>
      <c r="B371" s="11"/>
      <c r="C371" s="11"/>
      <c r="D371" s="11"/>
      <c r="E371" s="11"/>
      <c r="F371" s="11"/>
      <c r="G371" s="1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2">
      <c r="A372" s="11"/>
      <c r="B372" s="11"/>
      <c r="C372" s="11"/>
      <c r="D372" s="11"/>
      <c r="E372" s="11"/>
      <c r="F372" s="11"/>
      <c r="G372" s="1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2">
      <c r="A373" s="11"/>
      <c r="B373" s="11"/>
      <c r="C373" s="11"/>
      <c r="D373" s="11"/>
      <c r="E373" s="11"/>
      <c r="F373" s="11"/>
      <c r="G373" s="1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2">
      <c r="A374" s="11"/>
      <c r="B374" s="11"/>
      <c r="C374" s="11"/>
      <c r="D374" s="11"/>
      <c r="E374" s="11"/>
      <c r="F374" s="11"/>
      <c r="G374" s="1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2">
      <c r="A375" s="11"/>
      <c r="B375" s="11"/>
      <c r="C375" s="11"/>
      <c r="D375" s="11"/>
      <c r="E375" s="11"/>
      <c r="F375" s="11"/>
      <c r="G375" s="1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2">
      <c r="A376" s="11"/>
      <c r="B376" s="11"/>
      <c r="C376" s="11"/>
      <c r="D376" s="11"/>
      <c r="E376" s="11"/>
      <c r="F376" s="11"/>
      <c r="G376" s="1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2">
      <c r="A377" s="11"/>
      <c r="B377" s="11"/>
      <c r="C377" s="11"/>
      <c r="D377" s="11"/>
      <c r="E377" s="11"/>
      <c r="F377" s="11"/>
      <c r="G377" s="1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2">
      <c r="A378" s="11"/>
      <c r="B378" s="11"/>
      <c r="C378" s="11"/>
      <c r="D378" s="11"/>
      <c r="E378" s="11"/>
      <c r="F378" s="11"/>
      <c r="G378" s="1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2">
      <c r="A379" s="11"/>
      <c r="B379" s="11"/>
      <c r="C379" s="11"/>
      <c r="D379" s="11"/>
      <c r="E379" s="11"/>
      <c r="F379" s="11"/>
      <c r="G379" s="1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2">
      <c r="A380" s="11"/>
      <c r="B380" s="11"/>
      <c r="C380" s="11"/>
      <c r="D380" s="11"/>
      <c r="E380" s="11"/>
      <c r="F380" s="11"/>
      <c r="G380" s="1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2">
      <c r="A381" s="11"/>
      <c r="B381" s="11"/>
      <c r="C381" s="11"/>
      <c r="D381" s="11"/>
      <c r="E381" s="11"/>
      <c r="F381" s="11"/>
      <c r="G381" s="1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2">
      <c r="A382" s="11"/>
      <c r="B382" s="11"/>
      <c r="C382" s="11"/>
      <c r="D382" s="11"/>
      <c r="E382" s="11"/>
      <c r="F382" s="11"/>
      <c r="G382" s="1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2">
      <c r="A383" s="11"/>
      <c r="B383" s="11"/>
      <c r="C383" s="11"/>
      <c r="D383" s="11"/>
      <c r="E383" s="11"/>
      <c r="F383" s="11"/>
      <c r="G383" s="1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2">
      <c r="A384" s="11"/>
      <c r="B384" s="11"/>
      <c r="C384" s="11"/>
      <c r="D384" s="11"/>
      <c r="E384" s="11"/>
      <c r="F384" s="11"/>
      <c r="G384" s="1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2">
      <c r="A385" s="11"/>
      <c r="B385" s="11"/>
      <c r="C385" s="11"/>
      <c r="D385" s="11"/>
      <c r="E385" s="11"/>
      <c r="F385" s="11"/>
      <c r="G385" s="1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2">
      <c r="A386" s="11"/>
      <c r="B386" s="11"/>
      <c r="C386" s="11"/>
      <c r="D386" s="11"/>
      <c r="E386" s="11"/>
      <c r="F386" s="11"/>
      <c r="G386" s="1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2">
      <c r="A387" s="11"/>
      <c r="B387" s="11"/>
      <c r="C387" s="11"/>
      <c r="D387" s="11"/>
      <c r="E387" s="11"/>
      <c r="F387" s="11"/>
      <c r="G387" s="1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2">
      <c r="A388" s="11"/>
      <c r="B388" s="11"/>
      <c r="C388" s="11"/>
      <c r="D388" s="11"/>
      <c r="E388" s="11"/>
      <c r="F388" s="11"/>
      <c r="G388" s="1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2">
      <c r="A389" s="11"/>
      <c r="B389" s="11"/>
      <c r="C389" s="11"/>
      <c r="D389" s="11"/>
      <c r="E389" s="11"/>
      <c r="F389" s="11"/>
      <c r="G389" s="1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2">
      <c r="A390" s="11"/>
      <c r="B390" s="11"/>
      <c r="C390" s="11"/>
      <c r="D390" s="11"/>
      <c r="E390" s="11"/>
      <c r="F390" s="11"/>
      <c r="G390" s="1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2">
      <c r="A391" s="11"/>
      <c r="B391" s="11"/>
      <c r="C391" s="11"/>
      <c r="D391" s="11"/>
      <c r="E391" s="11"/>
      <c r="F391" s="11"/>
      <c r="G391" s="1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2">
      <c r="A392" s="11"/>
      <c r="B392" s="11"/>
      <c r="C392" s="11"/>
      <c r="D392" s="11"/>
      <c r="E392" s="11"/>
      <c r="F392" s="11"/>
      <c r="G392" s="1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2">
      <c r="A393" s="11"/>
      <c r="B393" s="11"/>
      <c r="C393" s="11"/>
      <c r="D393" s="11"/>
      <c r="E393" s="11"/>
      <c r="F393" s="11"/>
      <c r="G393" s="1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2">
      <c r="A394" s="11"/>
      <c r="B394" s="11"/>
      <c r="C394" s="11"/>
      <c r="D394" s="11"/>
      <c r="E394" s="11"/>
      <c r="F394" s="11"/>
      <c r="G394" s="1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2">
      <c r="A395" s="11"/>
      <c r="B395" s="11"/>
      <c r="C395" s="11"/>
      <c r="D395" s="11"/>
      <c r="E395" s="11"/>
      <c r="F395" s="11"/>
      <c r="G395" s="1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2">
      <c r="A396" s="11"/>
      <c r="B396" s="11"/>
      <c r="C396" s="11"/>
      <c r="D396" s="11"/>
      <c r="E396" s="11"/>
      <c r="F396" s="11"/>
      <c r="G396" s="1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2">
      <c r="A397" s="11"/>
      <c r="B397" s="11"/>
      <c r="C397" s="11"/>
      <c r="D397" s="11"/>
      <c r="E397" s="11"/>
      <c r="F397" s="11"/>
      <c r="G397" s="1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2">
      <c r="A398" s="11"/>
      <c r="B398" s="11"/>
      <c r="C398" s="11"/>
      <c r="D398" s="11"/>
      <c r="E398" s="11"/>
      <c r="F398" s="11"/>
      <c r="G398" s="1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2">
      <c r="A399" s="11"/>
      <c r="B399" s="11"/>
      <c r="C399" s="11"/>
      <c r="D399" s="11"/>
      <c r="E399" s="11"/>
      <c r="F399" s="11"/>
      <c r="G399" s="1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2">
      <c r="A400" s="11"/>
      <c r="B400" s="11"/>
      <c r="C400" s="11"/>
      <c r="D400" s="11"/>
      <c r="E400" s="11"/>
      <c r="F400" s="11"/>
      <c r="G400" s="1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2">
      <c r="A401" s="11"/>
      <c r="B401" s="11"/>
      <c r="C401" s="11"/>
      <c r="D401" s="11"/>
      <c r="E401" s="11"/>
      <c r="F401" s="11"/>
      <c r="G401" s="1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2">
      <c r="A402" s="11"/>
      <c r="B402" s="11"/>
      <c r="C402" s="11"/>
      <c r="D402" s="11"/>
      <c r="E402" s="11"/>
      <c r="F402" s="11"/>
      <c r="G402" s="1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2">
      <c r="A403" s="11"/>
      <c r="B403" s="11"/>
      <c r="C403" s="11"/>
      <c r="D403" s="11"/>
      <c r="E403" s="11"/>
      <c r="F403" s="11"/>
      <c r="G403" s="1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2">
      <c r="A404" s="11"/>
      <c r="B404" s="11"/>
      <c r="C404" s="11"/>
      <c r="D404" s="11"/>
      <c r="E404" s="11"/>
      <c r="F404" s="11"/>
      <c r="G404" s="1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2">
      <c r="A405" s="11"/>
      <c r="B405" s="11"/>
      <c r="C405" s="11"/>
      <c r="D405" s="11"/>
      <c r="E405" s="11"/>
      <c r="F405" s="11"/>
      <c r="G405" s="1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2">
      <c r="A406" s="11"/>
      <c r="B406" s="11"/>
      <c r="C406" s="11"/>
      <c r="D406" s="11"/>
      <c r="E406" s="11"/>
      <c r="F406" s="11"/>
      <c r="G406" s="1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2">
      <c r="A407" s="11"/>
      <c r="B407" s="11"/>
      <c r="C407" s="11"/>
      <c r="D407" s="11"/>
      <c r="E407" s="11"/>
      <c r="F407" s="11"/>
      <c r="G407" s="1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2">
      <c r="A408" s="11"/>
      <c r="B408" s="11"/>
      <c r="C408" s="11"/>
      <c r="D408" s="11"/>
      <c r="E408" s="11"/>
      <c r="F408" s="11"/>
      <c r="G408" s="1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2">
      <c r="A409" s="11"/>
      <c r="B409" s="11"/>
      <c r="C409" s="11"/>
      <c r="D409" s="11"/>
      <c r="E409" s="11"/>
      <c r="F409" s="11"/>
      <c r="G409" s="1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2">
      <c r="A410" s="11"/>
      <c r="B410" s="11"/>
      <c r="C410" s="11"/>
      <c r="D410" s="11"/>
      <c r="E410" s="11"/>
      <c r="F410" s="11"/>
      <c r="G410" s="1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2">
      <c r="A411" s="11"/>
      <c r="B411" s="11"/>
      <c r="C411" s="11"/>
      <c r="D411" s="11"/>
      <c r="E411" s="11"/>
      <c r="F411" s="11"/>
      <c r="G411" s="1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2">
      <c r="A412" s="11"/>
      <c r="B412" s="11"/>
      <c r="C412" s="11"/>
      <c r="D412" s="11"/>
      <c r="E412" s="11"/>
      <c r="F412" s="11"/>
      <c r="G412" s="1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2">
      <c r="A413" s="11"/>
      <c r="B413" s="11"/>
      <c r="C413" s="11"/>
      <c r="D413" s="11"/>
      <c r="E413" s="11"/>
      <c r="F413" s="11"/>
      <c r="G413" s="1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2">
      <c r="A414" s="11"/>
      <c r="B414" s="11"/>
      <c r="C414" s="11"/>
      <c r="D414" s="11"/>
      <c r="E414" s="11"/>
      <c r="F414" s="11"/>
      <c r="G414" s="1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2">
      <c r="A415" s="11"/>
      <c r="B415" s="11"/>
      <c r="C415" s="11"/>
      <c r="D415" s="11"/>
      <c r="E415" s="11"/>
      <c r="F415" s="11"/>
      <c r="G415" s="1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2">
      <c r="A416" s="11"/>
      <c r="B416" s="11"/>
      <c r="C416" s="11"/>
      <c r="D416" s="11"/>
      <c r="E416" s="11"/>
      <c r="F416" s="11"/>
      <c r="G416" s="1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2">
      <c r="A417" s="11"/>
      <c r="B417" s="11"/>
      <c r="C417" s="11"/>
      <c r="D417" s="11"/>
      <c r="E417" s="11"/>
      <c r="F417" s="11"/>
      <c r="G417" s="1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2">
      <c r="A418" s="11"/>
      <c r="B418" s="11"/>
      <c r="C418" s="11"/>
      <c r="D418" s="11"/>
      <c r="E418" s="11"/>
      <c r="F418" s="11"/>
      <c r="G418" s="1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2">
      <c r="A419" s="11"/>
      <c r="B419" s="11"/>
      <c r="C419" s="11"/>
      <c r="D419" s="11"/>
      <c r="E419" s="11"/>
      <c r="F419" s="11"/>
      <c r="G419" s="1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2">
      <c r="A420" s="11"/>
      <c r="B420" s="11"/>
      <c r="C420" s="11"/>
      <c r="D420" s="11"/>
      <c r="E420" s="11"/>
      <c r="F420" s="11"/>
      <c r="G420" s="1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2">
      <c r="A421" s="11"/>
      <c r="B421" s="11"/>
      <c r="C421" s="11"/>
      <c r="D421" s="11"/>
      <c r="E421" s="11"/>
      <c r="F421" s="11"/>
      <c r="G421" s="1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2">
      <c r="A422" s="11"/>
      <c r="B422" s="11"/>
      <c r="C422" s="11"/>
      <c r="D422" s="11"/>
      <c r="E422" s="11"/>
      <c r="F422" s="11"/>
      <c r="G422" s="1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2">
      <c r="A423" s="11"/>
      <c r="B423" s="11"/>
      <c r="C423" s="11"/>
      <c r="D423" s="11"/>
      <c r="E423" s="11"/>
      <c r="F423" s="11"/>
      <c r="G423" s="1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2">
      <c r="A424" s="11"/>
      <c r="B424" s="11"/>
      <c r="C424" s="11"/>
      <c r="D424" s="11"/>
      <c r="E424" s="11"/>
      <c r="F424" s="11"/>
      <c r="G424" s="1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2">
      <c r="A425" s="11"/>
      <c r="B425" s="11"/>
      <c r="C425" s="11"/>
      <c r="D425" s="11"/>
      <c r="E425" s="11"/>
      <c r="F425" s="11"/>
      <c r="G425" s="1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2">
      <c r="A426" s="11"/>
      <c r="B426" s="11"/>
      <c r="C426" s="11"/>
      <c r="D426" s="11"/>
      <c r="E426" s="11"/>
      <c r="F426" s="11"/>
      <c r="G426" s="1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2">
      <c r="A427" s="11"/>
      <c r="B427" s="11"/>
      <c r="C427" s="11"/>
      <c r="D427" s="11"/>
      <c r="E427" s="11"/>
      <c r="F427" s="11"/>
      <c r="G427" s="1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2">
      <c r="A428" s="11"/>
      <c r="B428" s="11"/>
      <c r="C428" s="11"/>
      <c r="D428" s="11"/>
      <c r="E428" s="11"/>
      <c r="F428" s="11"/>
      <c r="G428" s="1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2">
      <c r="A429" s="11"/>
      <c r="B429" s="11"/>
      <c r="C429" s="11"/>
      <c r="D429" s="11"/>
      <c r="E429" s="11"/>
      <c r="F429" s="11"/>
      <c r="G429" s="1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2">
      <c r="A430" s="11"/>
      <c r="B430" s="11"/>
      <c r="C430" s="11"/>
      <c r="D430" s="11"/>
      <c r="E430" s="11"/>
      <c r="F430" s="11"/>
      <c r="G430" s="1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2">
      <c r="A431" s="11"/>
      <c r="B431" s="11"/>
      <c r="C431" s="11"/>
      <c r="D431" s="11"/>
      <c r="E431" s="11"/>
      <c r="F431" s="11"/>
      <c r="G431" s="1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2">
      <c r="A432" s="11"/>
      <c r="B432" s="11"/>
      <c r="C432" s="11"/>
      <c r="D432" s="11"/>
      <c r="E432" s="11"/>
      <c r="F432" s="11"/>
      <c r="G432" s="1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2">
      <c r="A433" s="11"/>
      <c r="B433" s="11"/>
      <c r="C433" s="11"/>
      <c r="D433" s="11"/>
      <c r="E433" s="11"/>
      <c r="F433" s="11"/>
      <c r="G433" s="1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2">
      <c r="A434" s="11"/>
      <c r="B434" s="11"/>
      <c r="C434" s="11"/>
      <c r="D434" s="11"/>
      <c r="E434" s="11"/>
      <c r="F434" s="11"/>
      <c r="G434" s="1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2">
      <c r="A435" s="11"/>
      <c r="B435" s="11"/>
      <c r="C435" s="11"/>
      <c r="D435" s="11"/>
      <c r="E435" s="11"/>
      <c r="F435" s="11"/>
      <c r="G435" s="1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2">
      <c r="A436" s="11"/>
      <c r="B436" s="11"/>
      <c r="C436" s="11"/>
      <c r="D436" s="11"/>
      <c r="E436" s="11"/>
      <c r="F436" s="11"/>
      <c r="G436" s="1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2">
      <c r="A437" s="11"/>
      <c r="B437" s="11"/>
      <c r="C437" s="11"/>
      <c r="D437" s="11"/>
      <c r="E437" s="11"/>
      <c r="F437" s="11"/>
      <c r="G437" s="1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2">
      <c r="A438" s="11"/>
      <c r="B438" s="11"/>
      <c r="C438" s="11"/>
      <c r="D438" s="11"/>
      <c r="E438" s="11"/>
      <c r="F438" s="11"/>
      <c r="G438" s="1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2">
      <c r="A439" s="11"/>
      <c r="B439" s="11"/>
      <c r="C439" s="11"/>
      <c r="D439" s="11"/>
      <c r="E439" s="11"/>
      <c r="F439" s="11"/>
      <c r="G439" s="1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2">
      <c r="A440" s="11"/>
      <c r="B440" s="11"/>
      <c r="C440" s="11"/>
      <c r="D440" s="11"/>
      <c r="E440" s="11"/>
      <c r="F440" s="11"/>
      <c r="G440" s="1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2">
      <c r="A441" s="11"/>
      <c r="B441" s="11"/>
      <c r="C441" s="11"/>
      <c r="D441" s="11"/>
      <c r="E441" s="11"/>
      <c r="F441" s="11"/>
      <c r="G441" s="1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2">
      <c r="A442" s="11"/>
      <c r="B442" s="11"/>
      <c r="C442" s="11"/>
      <c r="D442" s="11"/>
      <c r="E442" s="11"/>
      <c r="F442" s="11"/>
      <c r="G442" s="1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2">
      <c r="A443" s="11"/>
      <c r="B443" s="11"/>
      <c r="C443" s="11"/>
      <c r="D443" s="11"/>
      <c r="E443" s="11"/>
      <c r="F443" s="11"/>
      <c r="G443" s="1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2">
      <c r="A444" s="11"/>
      <c r="B444" s="11"/>
      <c r="C444" s="11"/>
      <c r="D444" s="11"/>
      <c r="E444" s="11"/>
      <c r="F444" s="11"/>
      <c r="G444" s="1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2">
      <c r="A445" s="11"/>
      <c r="B445" s="11"/>
      <c r="C445" s="11"/>
      <c r="D445" s="11"/>
      <c r="E445" s="11"/>
      <c r="F445" s="11"/>
      <c r="G445" s="1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2">
      <c r="A446" s="11"/>
      <c r="B446" s="11"/>
      <c r="C446" s="11"/>
      <c r="D446" s="11"/>
      <c r="E446" s="11"/>
      <c r="F446" s="11"/>
      <c r="G446" s="1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2">
      <c r="A447" s="11"/>
      <c r="B447" s="11"/>
      <c r="C447" s="11"/>
      <c r="D447" s="11"/>
      <c r="E447" s="11"/>
      <c r="F447" s="11"/>
      <c r="G447" s="1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2">
      <c r="A448" s="11"/>
      <c r="B448" s="11"/>
      <c r="C448" s="11"/>
      <c r="D448" s="11"/>
      <c r="E448" s="11"/>
      <c r="F448" s="11"/>
      <c r="G448" s="1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2">
      <c r="A449" s="11"/>
      <c r="B449" s="11"/>
      <c r="C449" s="11"/>
      <c r="D449" s="11"/>
      <c r="E449" s="11"/>
      <c r="F449" s="11"/>
      <c r="G449" s="1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2">
      <c r="A450" s="11"/>
      <c r="B450" s="11"/>
      <c r="C450" s="11"/>
      <c r="D450" s="11"/>
      <c r="E450" s="11"/>
      <c r="F450" s="11"/>
      <c r="G450" s="1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2">
      <c r="A451" s="11"/>
      <c r="B451" s="11"/>
      <c r="C451" s="11"/>
      <c r="D451" s="11"/>
      <c r="E451" s="11"/>
      <c r="F451" s="11"/>
      <c r="G451" s="1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2">
      <c r="A452" s="11"/>
      <c r="B452" s="11"/>
      <c r="C452" s="11"/>
      <c r="D452" s="11"/>
      <c r="E452" s="11"/>
      <c r="F452" s="11"/>
      <c r="G452" s="1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2">
      <c r="A453" s="11"/>
      <c r="B453" s="11"/>
      <c r="C453" s="11"/>
      <c r="D453" s="11"/>
      <c r="E453" s="11"/>
      <c r="F453" s="11"/>
      <c r="G453" s="1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2">
      <c r="A454" s="11"/>
      <c r="B454" s="11"/>
      <c r="C454" s="11"/>
      <c r="D454" s="11"/>
      <c r="E454" s="11"/>
      <c r="F454" s="11"/>
      <c r="G454" s="1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2">
      <c r="A455" s="11"/>
      <c r="B455" s="11"/>
      <c r="C455" s="11"/>
      <c r="D455" s="11"/>
      <c r="E455" s="11"/>
      <c r="F455" s="11"/>
      <c r="G455" s="1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2">
      <c r="A456" s="11"/>
      <c r="B456" s="11"/>
      <c r="C456" s="11"/>
      <c r="D456" s="11"/>
      <c r="E456" s="11"/>
      <c r="F456" s="11"/>
      <c r="G456" s="1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2">
      <c r="A457" s="11"/>
      <c r="B457" s="11"/>
      <c r="C457" s="11"/>
      <c r="D457" s="11"/>
      <c r="E457" s="11"/>
      <c r="F457" s="11"/>
      <c r="G457" s="1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2">
      <c r="A458" s="11"/>
      <c r="B458" s="11"/>
      <c r="C458" s="11"/>
      <c r="D458" s="11"/>
      <c r="E458" s="11"/>
      <c r="F458" s="11"/>
      <c r="G458" s="1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2">
      <c r="A459" s="11"/>
      <c r="B459" s="11"/>
      <c r="C459" s="11"/>
      <c r="D459" s="11"/>
      <c r="E459" s="11"/>
      <c r="F459" s="11"/>
      <c r="G459" s="1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2">
      <c r="A460" s="11"/>
      <c r="B460" s="11"/>
      <c r="C460" s="11"/>
      <c r="D460" s="11"/>
      <c r="E460" s="11"/>
      <c r="F460" s="11"/>
      <c r="G460" s="1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2">
      <c r="A461" s="11"/>
      <c r="B461" s="11"/>
      <c r="C461" s="11"/>
      <c r="D461" s="11"/>
      <c r="E461" s="11"/>
      <c r="F461" s="11"/>
      <c r="G461" s="1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2">
      <c r="A462" s="11"/>
      <c r="B462" s="11"/>
      <c r="C462" s="11"/>
      <c r="D462" s="11"/>
      <c r="E462" s="11"/>
      <c r="F462" s="11"/>
      <c r="G462" s="1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2">
      <c r="A463" s="11"/>
      <c r="B463" s="11"/>
      <c r="C463" s="11"/>
      <c r="D463" s="11"/>
      <c r="E463" s="11"/>
      <c r="F463" s="11"/>
      <c r="G463" s="1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2">
      <c r="A464" s="11"/>
      <c r="B464" s="11"/>
      <c r="C464" s="11"/>
      <c r="D464" s="11"/>
      <c r="E464" s="11"/>
      <c r="F464" s="11"/>
      <c r="G464" s="1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2">
      <c r="A465" s="11"/>
      <c r="B465" s="11"/>
      <c r="C465" s="11"/>
      <c r="D465" s="11"/>
      <c r="E465" s="11"/>
      <c r="F465" s="11"/>
      <c r="G465" s="1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2">
      <c r="A466" s="11"/>
      <c r="B466" s="11"/>
      <c r="C466" s="11"/>
      <c r="D466" s="11"/>
      <c r="E466" s="11"/>
      <c r="F466" s="11"/>
      <c r="G466" s="1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2">
      <c r="A467" s="11"/>
      <c r="B467" s="11"/>
      <c r="C467" s="11"/>
      <c r="D467" s="11"/>
      <c r="E467" s="11"/>
      <c r="F467" s="11"/>
      <c r="G467" s="1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2">
      <c r="A468" s="11"/>
      <c r="B468" s="11"/>
      <c r="C468" s="11"/>
      <c r="D468" s="11"/>
      <c r="E468" s="11"/>
      <c r="F468" s="11"/>
      <c r="G468" s="1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2">
      <c r="A469" s="11"/>
      <c r="B469" s="11"/>
      <c r="C469" s="11"/>
      <c r="D469" s="11"/>
      <c r="E469" s="11"/>
      <c r="F469" s="11"/>
      <c r="G469" s="1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2">
      <c r="A470" s="11"/>
      <c r="B470" s="11"/>
      <c r="C470" s="11"/>
      <c r="D470" s="11"/>
      <c r="E470" s="11"/>
      <c r="F470" s="11"/>
      <c r="G470" s="1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2">
      <c r="A471" s="11"/>
      <c r="B471" s="11"/>
      <c r="C471" s="11"/>
      <c r="D471" s="11"/>
      <c r="E471" s="11"/>
      <c r="F471" s="11"/>
      <c r="G471" s="1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2">
      <c r="A472" s="11"/>
      <c r="B472" s="11"/>
      <c r="C472" s="11"/>
      <c r="D472" s="11"/>
      <c r="E472" s="11"/>
      <c r="F472" s="11"/>
      <c r="G472" s="1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2">
      <c r="A473" s="11"/>
      <c r="B473" s="11"/>
      <c r="C473" s="11"/>
      <c r="D473" s="11"/>
      <c r="E473" s="11"/>
      <c r="F473" s="11"/>
      <c r="G473" s="1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2">
      <c r="A474" s="11"/>
      <c r="B474" s="11"/>
      <c r="C474" s="11"/>
      <c r="D474" s="11"/>
      <c r="E474" s="11"/>
      <c r="F474" s="11"/>
      <c r="G474" s="1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2">
      <c r="A475" s="11"/>
      <c r="B475" s="11"/>
      <c r="C475" s="11"/>
      <c r="D475" s="11"/>
      <c r="E475" s="11"/>
      <c r="F475" s="11"/>
      <c r="G475" s="1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2">
      <c r="A476" s="11"/>
      <c r="B476" s="11"/>
      <c r="C476" s="11"/>
      <c r="D476" s="11"/>
      <c r="E476" s="11"/>
      <c r="F476" s="11"/>
      <c r="G476" s="1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2">
      <c r="A477" s="11"/>
      <c r="B477" s="11"/>
      <c r="C477" s="11"/>
      <c r="D477" s="11"/>
      <c r="E477" s="11"/>
      <c r="F477" s="11"/>
      <c r="G477" s="1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2">
      <c r="A478" s="11"/>
      <c r="B478" s="11"/>
      <c r="C478" s="11"/>
      <c r="D478" s="11"/>
      <c r="E478" s="11"/>
      <c r="F478" s="11"/>
      <c r="G478" s="1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2">
      <c r="A479" s="11"/>
      <c r="B479" s="11"/>
      <c r="C479" s="11"/>
      <c r="D479" s="11"/>
      <c r="E479" s="11"/>
      <c r="F479" s="11"/>
      <c r="G479" s="1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2">
      <c r="A480" s="11"/>
      <c r="B480" s="11"/>
      <c r="C480" s="11"/>
      <c r="D480" s="11"/>
      <c r="E480" s="11"/>
      <c r="F480" s="11"/>
      <c r="G480" s="1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2">
      <c r="A481" s="11"/>
      <c r="B481" s="11"/>
      <c r="C481" s="11"/>
      <c r="D481" s="11"/>
      <c r="E481" s="11"/>
      <c r="F481" s="11"/>
      <c r="G481" s="1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2">
      <c r="A482" s="11"/>
      <c r="B482" s="11"/>
      <c r="C482" s="11"/>
      <c r="D482" s="11"/>
      <c r="E482" s="11"/>
      <c r="F482" s="11"/>
      <c r="G482" s="1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2">
      <c r="A483" s="11"/>
      <c r="B483" s="11"/>
      <c r="C483" s="11"/>
      <c r="D483" s="11"/>
      <c r="E483" s="11"/>
      <c r="F483" s="11"/>
      <c r="G483" s="1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2">
      <c r="A484" s="11"/>
      <c r="B484" s="11"/>
      <c r="C484" s="11"/>
      <c r="D484" s="11"/>
      <c r="E484" s="11"/>
      <c r="F484" s="11"/>
      <c r="G484" s="1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2">
      <c r="A485" s="11"/>
      <c r="B485" s="11"/>
      <c r="C485" s="11"/>
      <c r="D485" s="11"/>
      <c r="E485" s="11"/>
      <c r="F485" s="11"/>
      <c r="G485" s="1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2">
      <c r="A486" s="11"/>
      <c r="B486" s="11"/>
      <c r="C486" s="11"/>
      <c r="D486" s="11"/>
      <c r="E486" s="11"/>
      <c r="F486" s="11"/>
      <c r="G486" s="1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2">
      <c r="A487" s="11"/>
      <c r="B487" s="11"/>
      <c r="C487" s="11"/>
      <c r="D487" s="11"/>
      <c r="E487" s="11"/>
      <c r="F487" s="11"/>
      <c r="G487" s="1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2">
      <c r="A488" s="11"/>
      <c r="B488" s="11"/>
      <c r="C488" s="11"/>
      <c r="D488" s="11"/>
      <c r="E488" s="11"/>
      <c r="F488" s="11"/>
      <c r="G488" s="12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2">
      <c r="A489" s="11"/>
      <c r="B489" s="11"/>
      <c r="C489" s="11"/>
      <c r="D489" s="11"/>
      <c r="E489" s="11"/>
      <c r="F489" s="11"/>
      <c r="G489" s="12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2">
      <c r="A490" s="11"/>
      <c r="B490" s="11"/>
      <c r="C490" s="11"/>
      <c r="D490" s="11"/>
      <c r="E490" s="11"/>
      <c r="F490" s="11"/>
      <c r="G490" s="12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2">
      <c r="A491" s="11"/>
      <c r="B491" s="11"/>
      <c r="C491" s="11"/>
      <c r="D491" s="11"/>
      <c r="E491" s="11"/>
      <c r="F491" s="11"/>
      <c r="G491" s="12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2">
      <c r="A492" s="11"/>
      <c r="B492" s="11"/>
      <c r="C492" s="11"/>
      <c r="D492" s="11"/>
      <c r="E492" s="11"/>
      <c r="F492" s="11"/>
      <c r="G492" s="12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2">
      <c r="A493" s="11"/>
      <c r="B493" s="11"/>
      <c r="C493" s="11"/>
      <c r="D493" s="11"/>
      <c r="E493" s="11"/>
      <c r="F493" s="11"/>
      <c r="G493" s="12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2">
      <c r="A494" s="11"/>
      <c r="B494" s="11"/>
      <c r="C494" s="11"/>
      <c r="D494" s="11"/>
      <c r="E494" s="11"/>
      <c r="F494" s="11"/>
      <c r="G494" s="12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2">
      <c r="A495" s="11"/>
      <c r="B495" s="11"/>
      <c r="C495" s="11"/>
      <c r="D495" s="11"/>
      <c r="E495" s="11"/>
      <c r="F495" s="11"/>
      <c r="G495" s="12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2">
      <c r="A496" s="11"/>
      <c r="B496" s="11"/>
      <c r="C496" s="11"/>
      <c r="D496" s="11"/>
      <c r="E496" s="11"/>
      <c r="F496" s="11"/>
      <c r="G496" s="12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2">
      <c r="A497" s="11"/>
      <c r="B497" s="11"/>
      <c r="C497" s="11"/>
      <c r="D497" s="11"/>
      <c r="E497" s="11"/>
      <c r="F497" s="11"/>
      <c r="G497" s="12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2">
      <c r="A498" s="11"/>
      <c r="B498" s="11"/>
      <c r="C498" s="11"/>
      <c r="D498" s="11"/>
      <c r="E498" s="11"/>
      <c r="F498" s="11"/>
      <c r="G498" s="12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2">
      <c r="A499" s="11"/>
      <c r="B499" s="11"/>
      <c r="C499" s="11"/>
      <c r="D499" s="11"/>
      <c r="E499" s="11"/>
      <c r="F499" s="11"/>
      <c r="G499" s="12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2">
      <c r="A500" s="11"/>
      <c r="B500" s="11"/>
      <c r="C500" s="11"/>
      <c r="D500" s="11"/>
      <c r="E500" s="11"/>
      <c r="F500" s="11"/>
      <c r="G500" s="12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2">
      <c r="A501" s="11"/>
      <c r="B501" s="11"/>
      <c r="C501" s="11"/>
      <c r="D501" s="11"/>
      <c r="E501" s="11"/>
      <c r="F501" s="11"/>
      <c r="G501" s="12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2">
      <c r="A502" s="11"/>
      <c r="B502" s="11"/>
      <c r="C502" s="11"/>
      <c r="D502" s="11"/>
      <c r="E502" s="11"/>
      <c r="F502" s="11"/>
      <c r="G502" s="12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2">
      <c r="A503" s="11"/>
      <c r="B503" s="11"/>
      <c r="C503" s="11"/>
      <c r="D503" s="11"/>
      <c r="E503" s="11"/>
      <c r="F503" s="11"/>
      <c r="G503" s="12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2">
      <c r="A504" s="11"/>
      <c r="B504" s="11"/>
      <c r="C504" s="11"/>
      <c r="D504" s="11"/>
      <c r="E504" s="11"/>
      <c r="F504" s="11"/>
      <c r="G504" s="12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2">
      <c r="A505" s="11"/>
      <c r="B505" s="11"/>
      <c r="C505" s="11"/>
      <c r="D505" s="11"/>
      <c r="E505" s="11"/>
      <c r="F505" s="11"/>
      <c r="G505" s="12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2">
      <c r="A506" s="11"/>
      <c r="B506" s="11"/>
      <c r="C506" s="11"/>
      <c r="D506" s="11"/>
      <c r="E506" s="11"/>
      <c r="F506" s="11"/>
      <c r="G506" s="12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2">
      <c r="A507" s="11"/>
      <c r="B507" s="11"/>
      <c r="C507" s="11"/>
      <c r="D507" s="11"/>
      <c r="E507" s="11"/>
      <c r="F507" s="11"/>
      <c r="G507" s="12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2">
      <c r="A508" s="11"/>
      <c r="B508" s="11"/>
      <c r="C508" s="11"/>
      <c r="D508" s="11"/>
      <c r="E508" s="11"/>
      <c r="F508" s="11"/>
      <c r="G508" s="12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2">
      <c r="A509" s="11"/>
      <c r="B509" s="11"/>
      <c r="C509" s="11"/>
      <c r="D509" s="11"/>
      <c r="E509" s="11"/>
      <c r="F509" s="11"/>
      <c r="G509" s="12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2">
      <c r="A510" s="11"/>
      <c r="B510" s="11"/>
      <c r="C510" s="11"/>
      <c r="D510" s="11"/>
      <c r="E510" s="11"/>
      <c r="F510" s="11"/>
      <c r="G510" s="12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2">
      <c r="A511" s="11"/>
      <c r="B511" s="11"/>
      <c r="C511" s="11"/>
      <c r="D511" s="11"/>
      <c r="E511" s="11"/>
      <c r="F511" s="11"/>
      <c r="G511" s="12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2">
      <c r="A512" s="11"/>
      <c r="B512" s="11"/>
      <c r="C512" s="11"/>
      <c r="D512" s="11"/>
      <c r="E512" s="11"/>
      <c r="F512" s="11"/>
      <c r="G512" s="12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2">
      <c r="A513" s="11"/>
      <c r="B513" s="11"/>
      <c r="C513" s="11"/>
      <c r="D513" s="11"/>
      <c r="E513" s="11"/>
      <c r="F513" s="11"/>
      <c r="G513" s="12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2">
      <c r="A514" s="11"/>
      <c r="B514" s="11"/>
      <c r="C514" s="11"/>
      <c r="D514" s="11"/>
      <c r="E514" s="11"/>
      <c r="F514" s="11"/>
      <c r="G514" s="12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2">
      <c r="A515" s="11"/>
      <c r="B515" s="11"/>
      <c r="C515" s="11"/>
      <c r="D515" s="11"/>
      <c r="E515" s="11"/>
      <c r="F515" s="11"/>
      <c r="G515" s="12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2">
      <c r="A516" s="11"/>
      <c r="B516" s="11"/>
      <c r="C516" s="11"/>
      <c r="D516" s="11"/>
      <c r="E516" s="11"/>
      <c r="F516" s="11"/>
      <c r="G516" s="12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2">
      <c r="A517" s="11"/>
      <c r="B517" s="11"/>
      <c r="C517" s="11"/>
      <c r="D517" s="11"/>
      <c r="E517" s="11"/>
      <c r="F517" s="11"/>
      <c r="G517" s="12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2">
      <c r="A518" s="11"/>
      <c r="B518" s="11"/>
      <c r="C518" s="11"/>
      <c r="D518" s="11"/>
      <c r="E518" s="11"/>
      <c r="F518" s="11"/>
      <c r="G518" s="12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2">
      <c r="A519" s="11"/>
      <c r="B519" s="11"/>
      <c r="C519" s="11"/>
      <c r="D519" s="11"/>
      <c r="E519" s="11"/>
      <c r="F519" s="11"/>
      <c r="G519" s="12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2">
      <c r="A520" s="11"/>
      <c r="B520" s="11"/>
      <c r="C520" s="11"/>
      <c r="D520" s="11"/>
      <c r="E520" s="11"/>
      <c r="F520" s="11"/>
      <c r="G520" s="12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2">
      <c r="A521" s="11"/>
      <c r="B521" s="11"/>
      <c r="C521" s="11"/>
      <c r="D521" s="11"/>
      <c r="E521" s="11"/>
      <c r="F521" s="11"/>
      <c r="G521" s="12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2">
      <c r="A522" s="11"/>
      <c r="B522" s="11"/>
      <c r="C522" s="11"/>
      <c r="D522" s="11"/>
      <c r="E522" s="11"/>
      <c r="F522" s="11"/>
      <c r="G522" s="12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2">
      <c r="A523" s="11"/>
      <c r="B523" s="11"/>
      <c r="C523" s="11"/>
      <c r="D523" s="11"/>
      <c r="E523" s="11"/>
      <c r="F523" s="11"/>
      <c r="G523" s="12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2">
      <c r="A524" s="11"/>
      <c r="B524" s="11"/>
      <c r="C524" s="11"/>
      <c r="D524" s="11"/>
      <c r="E524" s="11"/>
      <c r="F524" s="11"/>
      <c r="G524" s="12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2">
      <c r="A525" s="11"/>
      <c r="B525" s="11"/>
      <c r="C525" s="11"/>
      <c r="D525" s="11"/>
      <c r="E525" s="11"/>
      <c r="F525" s="11"/>
      <c r="G525" s="12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2">
      <c r="A526" s="11"/>
      <c r="B526" s="11"/>
      <c r="C526" s="11"/>
      <c r="D526" s="11"/>
      <c r="E526" s="11"/>
      <c r="F526" s="11"/>
      <c r="G526" s="12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2">
      <c r="A527" s="11"/>
      <c r="B527" s="11"/>
      <c r="C527" s="11"/>
      <c r="D527" s="11"/>
      <c r="E527" s="11"/>
      <c r="F527" s="11"/>
      <c r="G527" s="12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2">
      <c r="A528" s="11"/>
      <c r="B528" s="11"/>
      <c r="C528" s="11"/>
      <c r="D528" s="11"/>
      <c r="E528" s="11"/>
      <c r="F528" s="11"/>
      <c r="G528" s="12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2">
      <c r="A529" s="11"/>
      <c r="B529" s="11"/>
      <c r="C529" s="11"/>
      <c r="D529" s="11"/>
      <c r="E529" s="11"/>
      <c r="F529" s="11"/>
      <c r="G529" s="12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2">
      <c r="A530" s="11"/>
      <c r="B530" s="11"/>
      <c r="C530" s="11"/>
      <c r="D530" s="11"/>
      <c r="E530" s="11"/>
      <c r="F530" s="11"/>
      <c r="G530" s="12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2">
      <c r="A531" s="11"/>
      <c r="B531" s="11"/>
      <c r="C531" s="11"/>
      <c r="D531" s="11"/>
      <c r="E531" s="11"/>
      <c r="F531" s="11"/>
      <c r="G531" s="12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2">
      <c r="A532" s="11"/>
      <c r="B532" s="11"/>
      <c r="C532" s="11"/>
      <c r="D532" s="11"/>
      <c r="E532" s="11"/>
      <c r="F532" s="11"/>
      <c r="G532" s="12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2">
      <c r="A533" s="11"/>
      <c r="B533" s="11"/>
      <c r="C533" s="11"/>
      <c r="D533" s="11"/>
      <c r="E533" s="11"/>
      <c r="F533" s="11"/>
      <c r="G533" s="12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2">
      <c r="A534" s="11"/>
      <c r="B534" s="11"/>
      <c r="C534" s="11"/>
      <c r="D534" s="11"/>
      <c r="E534" s="11"/>
      <c r="F534" s="11"/>
      <c r="G534" s="12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2">
      <c r="A535" s="11"/>
      <c r="B535" s="11"/>
      <c r="C535" s="11"/>
      <c r="D535" s="11"/>
      <c r="E535" s="11"/>
      <c r="F535" s="11"/>
      <c r="G535" s="12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2">
      <c r="A536" s="11"/>
      <c r="B536" s="11"/>
      <c r="C536" s="11"/>
      <c r="D536" s="11"/>
      <c r="E536" s="11"/>
      <c r="F536" s="11"/>
      <c r="G536" s="12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2">
      <c r="A537" s="11"/>
      <c r="B537" s="11"/>
      <c r="C537" s="11"/>
      <c r="D537" s="11"/>
      <c r="E537" s="11"/>
      <c r="F537" s="11"/>
      <c r="G537" s="12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2">
      <c r="A538" s="11"/>
      <c r="B538" s="11"/>
      <c r="C538" s="11"/>
      <c r="D538" s="11"/>
      <c r="E538" s="11"/>
      <c r="F538" s="11"/>
      <c r="G538" s="12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2">
      <c r="A539" s="11"/>
      <c r="B539" s="11"/>
      <c r="C539" s="11"/>
      <c r="D539" s="11"/>
      <c r="E539" s="11"/>
      <c r="F539" s="11"/>
      <c r="G539" s="12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2">
      <c r="A540" s="11"/>
      <c r="B540" s="11"/>
      <c r="C540" s="11"/>
      <c r="D540" s="11"/>
      <c r="E540" s="11"/>
      <c r="F540" s="11"/>
      <c r="G540" s="12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2">
      <c r="A541" s="11"/>
      <c r="B541" s="11"/>
      <c r="C541" s="11"/>
      <c r="D541" s="11"/>
      <c r="E541" s="11"/>
      <c r="F541" s="11"/>
      <c r="G541" s="12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2">
      <c r="A542" s="11"/>
      <c r="B542" s="11"/>
      <c r="C542" s="11"/>
      <c r="D542" s="11"/>
      <c r="E542" s="11"/>
      <c r="F542" s="11"/>
      <c r="G542" s="12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2">
      <c r="A543" s="11"/>
      <c r="B543" s="11"/>
      <c r="C543" s="11"/>
      <c r="D543" s="11"/>
      <c r="E543" s="11"/>
      <c r="F543" s="11"/>
      <c r="G543" s="12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2">
      <c r="A544" s="11"/>
      <c r="B544" s="11"/>
      <c r="C544" s="11"/>
      <c r="D544" s="11"/>
      <c r="E544" s="11"/>
      <c r="F544" s="11"/>
      <c r="G544" s="12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2">
      <c r="A545" s="11"/>
      <c r="B545" s="11"/>
      <c r="C545" s="11"/>
      <c r="D545" s="11"/>
      <c r="E545" s="11"/>
      <c r="F545" s="11"/>
      <c r="G545" s="12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2">
      <c r="A546" s="11"/>
      <c r="B546" s="11"/>
      <c r="C546" s="11"/>
      <c r="D546" s="11"/>
      <c r="E546" s="11"/>
      <c r="F546" s="11"/>
      <c r="G546" s="12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2">
      <c r="A547" s="11"/>
      <c r="B547" s="11"/>
      <c r="C547" s="11"/>
      <c r="D547" s="11"/>
      <c r="E547" s="11"/>
      <c r="F547" s="11"/>
      <c r="G547" s="12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2">
      <c r="A548" s="11"/>
      <c r="B548" s="11"/>
      <c r="C548" s="11"/>
      <c r="D548" s="11"/>
      <c r="E548" s="11"/>
      <c r="F548" s="11"/>
      <c r="G548" s="12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2">
      <c r="A549" s="11"/>
      <c r="B549" s="11"/>
      <c r="C549" s="11"/>
      <c r="D549" s="11"/>
      <c r="E549" s="11"/>
      <c r="F549" s="11"/>
      <c r="G549" s="12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2">
      <c r="A550" s="11"/>
      <c r="B550" s="11"/>
      <c r="C550" s="11"/>
      <c r="D550" s="11"/>
      <c r="E550" s="11"/>
      <c r="F550" s="11"/>
      <c r="G550" s="12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2">
      <c r="A551" s="11"/>
      <c r="B551" s="11"/>
      <c r="C551" s="11"/>
      <c r="D551" s="11"/>
      <c r="E551" s="11"/>
      <c r="F551" s="11"/>
      <c r="G551" s="12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2">
      <c r="A552" s="11"/>
      <c r="B552" s="11"/>
      <c r="C552" s="11"/>
      <c r="D552" s="11"/>
      <c r="E552" s="11"/>
      <c r="F552" s="11"/>
      <c r="G552" s="12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2">
      <c r="A553" s="11"/>
      <c r="B553" s="11"/>
      <c r="C553" s="11"/>
      <c r="D553" s="11"/>
      <c r="E553" s="11"/>
      <c r="F553" s="11"/>
      <c r="G553" s="12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2">
      <c r="A554" s="11"/>
      <c r="B554" s="11"/>
      <c r="C554" s="11"/>
      <c r="D554" s="11"/>
      <c r="E554" s="11"/>
      <c r="F554" s="11"/>
      <c r="G554" s="12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2">
      <c r="A555" s="11"/>
      <c r="B555" s="11"/>
      <c r="C555" s="11"/>
      <c r="D555" s="11"/>
      <c r="E555" s="11"/>
      <c r="F555" s="11"/>
      <c r="G555" s="12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2">
      <c r="A556" s="11"/>
      <c r="B556" s="11"/>
      <c r="C556" s="11"/>
      <c r="D556" s="11"/>
      <c r="E556" s="11"/>
      <c r="F556" s="11"/>
      <c r="G556" s="12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2">
      <c r="A557" s="11"/>
      <c r="B557" s="11"/>
      <c r="C557" s="11"/>
      <c r="D557" s="11"/>
      <c r="E557" s="11"/>
      <c r="F557" s="11"/>
      <c r="G557" s="12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2">
      <c r="A558" s="11"/>
      <c r="B558" s="11"/>
      <c r="C558" s="11"/>
      <c r="D558" s="11"/>
      <c r="E558" s="11"/>
      <c r="F558" s="11"/>
      <c r="G558" s="12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2">
      <c r="A559" s="11"/>
      <c r="B559" s="11"/>
      <c r="C559" s="11"/>
      <c r="D559" s="11"/>
      <c r="E559" s="11"/>
      <c r="F559" s="11"/>
      <c r="G559" s="12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2">
      <c r="A560" s="11"/>
      <c r="B560" s="11"/>
      <c r="C560" s="11"/>
      <c r="D560" s="11"/>
      <c r="E560" s="11"/>
      <c r="F560" s="11"/>
      <c r="G560" s="12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2">
      <c r="A561" s="11"/>
      <c r="B561" s="11"/>
      <c r="C561" s="11"/>
      <c r="D561" s="11"/>
      <c r="E561" s="11"/>
      <c r="F561" s="11"/>
      <c r="G561" s="12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2">
      <c r="A562" s="11"/>
      <c r="B562" s="11"/>
      <c r="C562" s="11"/>
      <c r="D562" s="11"/>
      <c r="E562" s="11"/>
      <c r="F562" s="11"/>
      <c r="G562" s="12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2">
      <c r="A563" s="11"/>
      <c r="B563" s="11"/>
      <c r="C563" s="11"/>
      <c r="D563" s="11"/>
      <c r="E563" s="11"/>
      <c r="F563" s="11"/>
      <c r="G563" s="12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2">
      <c r="A564" s="11"/>
      <c r="B564" s="11"/>
      <c r="C564" s="11"/>
      <c r="D564" s="11"/>
      <c r="E564" s="11"/>
      <c r="F564" s="11"/>
      <c r="G564" s="12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2">
      <c r="A565" s="11"/>
      <c r="B565" s="11"/>
      <c r="C565" s="11"/>
      <c r="D565" s="11"/>
      <c r="E565" s="11"/>
      <c r="F565" s="11"/>
      <c r="G565" s="12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2">
      <c r="A566" s="11"/>
      <c r="B566" s="11"/>
      <c r="C566" s="11"/>
      <c r="D566" s="11"/>
      <c r="E566" s="11"/>
      <c r="F566" s="11"/>
      <c r="G566" s="12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2">
      <c r="A567" s="11"/>
      <c r="B567" s="11"/>
      <c r="C567" s="11"/>
      <c r="D567" s="11"/>
      <c r="E567" s="11"/>
      <c r="F567" s="11"/>
      <c r="G567" s="12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2">
      <c r="A568" s="11"/>
      <c r="B568" s="11"/>
      <c r="C568" s="11"/>
      <c r="D568" s="11"/>
      <c r="E568" s="11"/>
      <c r="F568" s="11"/>
      <c r="G568" s="12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2">
      <c r="A569" s="11"/>
      <c r="B569" s="11"/>
      <c r="C569" s="11"/>
      <c r="D569" s="11"/>
      <c r="E569" s="11"/>
      <c r="F569" s="11"/>
      <c r="G569" s="12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2">
      <c r="A570" s="11"/>
      <c r="B570" s="11"/>
      <c r="C570" s="11"/>
      <c r="D570" s="11"/>
      <c r="E570" s="11"/>
      <c r="F570" s="11"/>
      <c r="G570" s="12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2">
      <c r="A571" s="11"/>
      <c r="B571" s="11"/>
      <c r="C571" s="11"/>
      <c r="D571" s="11"/>
      <c r="E571" s="11"/>
      <c r="F571" s="11"/>
      <c r="G571" s="12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2">
      <c r="A572" s="11"/>
      <c r="B572" s="11"/>
      <c r="C572" s="11"/>
      <c r="D572" s="11"/>
      <c r="E572" s="11"/>
      <c r="F572" s="11"/>
      <c r="G572" s="12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2">
      <c r="A573" s="11"/>
      <c r="B573" s="11"/>
      <c r="C573" s="11"/>
      <c r="D573" s="11"/>
      <c r="E573" s="11"/>
      <c r="F573" s="11"/>
      <c r="G573" s="12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2">
      <c r="A574" s="11"/>
      <c r="B574" s="11"/>
      <c r="C574" s="11"/>
      <c r="D574" s="11"/>
      <c r="E574" s="11"/>
      <c r="F574" s="11"/>
      <c r="G574" s="12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2">
      <c r="A575" s="11"/>
      <c r="B575" s="11"/>
      <c r="C575" s="11"/>
      <c r="D575" s="11"/>
      <c r="E575" s="11"/>
      <c r="F575" s="11"/>
      <c r="G575" s="12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2">
      <c r="A576" s="11"/>
      <c r="B576" s="11"/>
      <c r="C576" s="11"/>
      <c r="D576" s="11"/>
      <c r="E576" s="11"/>
      <c r="F576" s="11"/>
      <c r="G576" s="12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2">
      <c r="A577" s="11"/>
      <c r="B577" s="11"/>
      <c r="C577" s="11"/>
      <c r="D577" s="11"/>
      <c r="E577" s="11"/>
      <c r="F577" s="11"/>
      <c r="G577" s="12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2">
      <c r="A578" s="11"/>
      <c r="B578" s="11"/>
      <c r="C578" s="11"/>
      <c r="D578" s="11"/>
      <c r="E578" s="11"/>
      <c r="F578" s="11"/>
      <c r="G578" s="12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2">
      <c r="A579" s="11"/>
      <c r="B579" s="11"/>
      <c r="C579" s="11"/>
      <c r="D579" s="11"/>
      <c r="E579" s="11"/>
      <c r="F579" s="11"/>
      <c r="G579" s="12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2">
      <c r="A580" s="11"/>
      <c r="B580" s="11"/>
      <c r="C580" s="11"/>
      <c r="D580" s="11"/>
      <c r="E580" s="11"/>
      <c r="F580" s="11"/>
      <c r="G580" s="12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2">
      <c r="A581" s="11"/>
      <c r="B581" s="11"/>
      <c r="C581" s="11"/>
      <c r="D581" s="11"/>
      <c r="E581" s="11"/>
      <c r="F581" s="11"/>
      <c r="G581" s="12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2">
      <c r="A582" s="11"/>
      <c r="B582" s="11"/>
      <c r="C582" s="11"/>
      <c r="D582" s="11"/>
      <c r="E582" s="11"/>
      <c r="F582" s="11"/>
      <c r="G582" s="12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2">
      <c r="A583" s="11"/>
      <c r="B583" s="11"/>
      <c r="C583" s="11"/>
      <c r="D583" s="11"/>
      <c r="E583" s="11"/>
      <c r="F583" s="11"/>
      <c r="G583" s="12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2">
      <c r="A584" s="11"/>
      <c r="B584" s="11"/>
      <c r="C584" s="11"/>
      <c r="D584" s="11"/>
      <c r="E584" s="11"/>
      <c r="F584" s="11"/>
      <c r="G584" s="12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2">
      <c r="A585" s="11"/>
      <c r="B585" s="11"/>
      <c r="C585" s="11"/>
      <c r="D585" s="11"/>
      <c r="E585" s="11"/>
      <c r="F585" s="11"/>
      <c r="G585" s="12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2">
      <c r="A586" s="11"/>
      <c r="B586" s="11"/>
      <c r="C586" s="11"/>
      <c r="D586" s="11"/>
      <c r="E586" s="11"/>
      <c r="F586" s="11"/>
      <c r="G586" s="12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2">
      <c r="A587" s="11"/>
      <c r="B587" s="11"/>
      <c r="C587" s="11"/>
      <c r="D587" s="11"/>
      <c r="E587" s="11"/>
      <c r="F587" s="11"/>
      <c r="G587" s="12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2">
      <c r="A588" s="11"/>
      <c r="B588" s="11"/>
      <c r="C588" s="11"/>
      <c r="D588" s="11"/>
      <c r="E588" s="11"/>
      <c r="F588" s="11"/>
      <c r="G588" s="12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2">
      <c r="A589" s="11"/>
      <c r="B589" s="11"/>
      <c r="C589" s="11"/>
      <c r="D589" s="11"/>
      <c r="E589" s="11"/>
      <c r="F589" s="11"/>
      <c r="G589" s="12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2">
      <c r="A590" s="11"/>
      <c r="B590" s="11"/>
      <c r="C590" s="11"/>
      <c r="D590" s="11"/>
      <c r="E590" s="11"/>
      <c r="F590" s="11"/>
      <c r="G590" s="12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2">
      <c r="A591" s="11"/>
      <c r="B591" s="11"/>
      <c r="C591" s="11"/>
      <c r="D591" s="11"/>
      <c r="E591" s="11"/>
      <c r="F591" s="11"/>
      <c r="G591" s="12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2">
      <c r="A592" s="11"/>
      <c r="B592" s="11"/>
      <c r="C592" s="11"/>
      <c r="D592" s="11"/>
      <c r="E592" s="11"/>
      <c r="F592" s="11"/>
      <c r="G592" s="12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2">
      <c r="A593" s="11"/>
      <c r="B593" s="11"/>
      <c r="C593" s="11"/>
      <c r="D593" s="11"/>
      <c r="E593" s="11"/>
      <c r="F593" s="11"/>
      <c r="G593" s="12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2">
      <c r="A594" s="11"/>
      <c r="B594" s="11"/>
      <c r="C594" s="11"/>
      <c r="D594" s="11"/>
      <c r="E594" s="11"/>
      <c r="F594" s="11"/>
      <c r="G594" s="12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2">
      <c r="A595" s="11"/>
      <c r="B595" s="11"/>
      <c r="C595" s="11"/>
      <c r="D595" s="11"/>
      <c r="E595" s="11"/>
      <c r="F595" s="11"/>
      <c r="G595" s="12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2">
      <c r="A596" s="11"/>
      <c r="B596" s="11"/>
      <c r="C596" s="11"/>
      <c r="D596" s="11"/>
      <c r="E596" s="11"/>
      <c r="F596" s="11"/>
      <c r="G596" s="12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2">
      <c r="A597" s="11"/>
      <c r="B597" s="11"/>
      <c r="C597" s="11"/>
      <c r="D597" s="11"/>
      <c r="E597" s="11"/>
      <c r="F597" s="11"/>
      <c r="G597" s="12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2">
      <c r="A598" s="11"/>
      <c r="B598" s="11"/>
      <c r="C598" s="11"/>
      <c r="D598" s="11"/>
      <c r="E598" s="11"/>
      <c r="F598" s="11"/>
      <c r="G598" s="12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2">
      <c r="A599" s="11"/>
      <c r="B599" s="11"/>
      <c r="C599" s="11"/>
      <c r="D599" s="11"/>
      <c r="E599" s="11"/>
      <c r="F599" s="11"/>
      <c r="G599" s="12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2">
      <c r="A600" s="11"/>
      <c r="B600" s="11"/>
      <c r="C600" s="11"/>
      <c r="D600" s="11"/>
      <c r="E600" s="11"/>
      <c r="F600" s="11"/>
      <c r="G600" s="12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2">
      <c r="A601" s="11"/>
      <c r="B601" s="11"/>
      <c r="C601" s="11"/>
      <c r="D601" s="11"/>
      <c r="E601" s="11"/>
      <c r="F601" s="11"/>
      <c r="G601" s="12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2">
      <c r="A602" s="11"/>
      <c r="B602" s="11"/>
      <c r="C602" s="11"/>
      <c r="D602" s="11"/>
      <c r="E602" s="11"/>
      <c r="F602" s="11"/>
      <c r="G602" s="12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2">
      <c r="A603" s="11"/>
      <c r="B603" s="11"/>
      <c r="C603" s="11"/>
      <c r="D603" s="11"/>
      <c r="E603" s="11"/>
      <c r="F603" s="11"/>
      <c r="G603" s="12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2">
      <c r="A604" s="11"/>
      <c r="B604" s="11"/>
      <c r="C604" s="11"/>
      <c r="D604" s="11"/>
      <c r="E604" s="11"/>
      <c r="F604" s="11"/>
      <c r="G604" s="12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2">
      <c r="A605" s="11"/>
      <c r="B605" s="11"/>
      <c r="C605" s="11"/>
      <c r="D605" s="11"/>
      <c r="E605" s="11"/>
      <c r="F605" s="11"/>
      <c r="G605" s="12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2">
      <c r="A606" s="11"/>
      <c r="B606" s="11"/>
      <c r="C606" s="11"/>
      <c r="D606" s="11"/>
      <c r="E606" s="11"/>
      <c r="F606" s="11"/>
      <c r="G606" s="12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2">
      <c r="A607" s="11"/>
      <c r="B607" s="11"/>
      <c r="C607" s="11"/>
      <c r="D607" s="11"/>
      <c r="E607" s="11"/>
      <c r="F607" s="11"/>
      <c r="G607" s="12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2">
      <c r="A608" s="11"/>
      <c r="B608" s="11"/>
      <c r="C608" s="11"/>
      <c r="D608" s="11"/>
      <c r="E608" s="11"/>
      <c r="F608" s="11"/>
      <c r="G608" s="12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2">
      <c r="A609" s="11"/>
      <c r="B609" s="11"/>
      <c r="C609" s="11"/>
      <c r="D609" s="11"/>
      <c r="E609" s="11"/>
      <c r="F609" s="11"/>
      <c r="G609" s="12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2">
      <c r="A610" s="11"/>
      <c r="B610" s="11"/>
      <c r="C610" s="11"/>
      <c r="D610" s="11"/>
      <c r="E610" s="11"/>
      <c r="F610" s="11"/>
      <c r="G610" s="12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2">
      <c r="A611" s="11"/>
      <c r="B611" s="11"/>
      <c r="C611" s="11"/>
      <c r="D611" s="11"/>
      <c r="E611" s="11"/>
      <c r="F611" s="11"/>
      <c r="G611" s="12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2">
      <c r="A612" s="11"/>
      <c r="B612" s="11"/>
      <c r="C612" s="11"/>
      <c r="D612" s="11"/>
      <c r="E612" s="11"/>
      <c r="F612" s="11"/>
      <c r="G612" s="12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2">
      <c r="A613" s="11"/>
      <c r="B613" s="11"/>
      <c r="C613" s="11"/>
      <c r="D613" s="11"/>
      <c r="E613" s="11"/>
      <c r="F613" s="11"/>
      <c r="G613" s="12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2">
      <c r="A614" s="11"/>
      <c r="B614" s="11"/>
      <c r="C614" s="11"/>
      <c r="D614" s="11"/>
      <c r="E614" s="11"/>
      <c r="F614" s="11"/>
      <c r="G614" s="12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2">
      <c r="A615" s="11"/>
      <c r="B615" s="11"/>
      <c r="C615" s="11"/>
      <c r="D615" s="11"/>
      <c r="E615" s="11"/>
      <c r="F615" s="11"/>
      <c r="G615" s="12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2">
      <c r="A616" s="11"/>
      <c r="B616" s="11"/>
      <c r="C616" s="11"/>
      <c r="D616" s="11"/>
      <c r="E616" s="11"/>
      <c r="F616" s="11"/>
      <c r="G616" s="12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2">
      <c r="A617" s="11"/>
      <c r="B617" s="11"/>
      <c r="C617" s="11"/>
      <c r="D617" s="11"/>
      <c r="E617" s="11"/>
      <c r="F617" s="11"/>
      <c r="G617" s="12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2">
      <c r="A618" s="11"/>
      <c r="B618" s="11"/>
      <c r="C618" s="11"/>
      <c r="D618" s="11"/>
      <c r="E618" s="11"/>
      <c r="F618" s="11"/>
      <c r="G618" s="12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2">
      <c r="A619" s="11"/>
      <c r="B619" s="11"/>
      <c r="C619" s="11"/>
      <c r="D619" s="11"/>
      <c r="E619" s="11"/>
      <c r="F619" s="11"/>
      <c r="G619" s="12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2">
      <c r="A620" s="11"/>
      <c r="B620" s="11"/>
      <c r="C620" s="11"/>
      <c r="D620" s="11"/>
      <c r="E620" s="11"/>
      <c r="F620" s="11"/>
      <c r="G620" s="12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2">
      <c r="A621" s="11"/>
      <c r="B621" s="11"/>
      <c r="C621" s="11"/>
      <c r="D621" s="11"/>
      <c r="E621" s="11"/>
      <c r="F621" s="11"/>
      <c r="G621" s="12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2">
      <c r="A622" s="11"/>
      <c r="B622" s="11"/>
      <c r="C622" s="11"/>
      <c r="D622" s="11"/>
      <c r="E622" s="11"/>
      <c r="F622" s="11"/>
      <c r="G622" s="12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2">
      <c r="A623" s="11"/>
      <c r="B623" s="11"/>
      <c r="C623" s="11"/>
      <c r="D623" s="11"/>
      <c r="E623" s="11"/>
      <c r="F623" s="11"/>
      <c r="G623" s="12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2">
      <c r="A624" s="11"/>
      <c r="B624" s="11"/>
      <c r="C624" s="11"/>
      <c r="D624" s="11"/>
      <c r="E624" s="11"/>
      <c r="F624" s="11"/>
      <c r="G624" s="12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2">
      <c r="A625" s="11"/>
      <c r="B625" s="11"/>
      <c r="C625" s="11"/>
      <c r="D625" s="11"/>
      <c r="E625" s="11"/>
      <c r="F625" s="11"/>
      <c r="G625" s="12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2">
      <c r="A626" s="11"/>
      <c r="B626" s="11"/>
      <c r="C626" s="11"/>
      <c r="D626" s="11"/>
      <c r="E626" s="11"/>
      <c r="F626" s="11"/>
      <c r="G626" s="12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2">
      <c r="A627" s="11"/>
      <c r="B627" s="11"/>
      <c r="C627" s="11"/>
      <c r="D627" s="11"/>
      <c r="E627" s="11"/>
      <c r="F627" s="11"/>
      <c r="G627" s="12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2">
      <c r="A628" s="11"/>
      <c r="B628" s="11"/>
      <c r="C628" s="11"/>
      <c r="D628" s="11"/>
      <c r="E628" s="11"/>
      <c r="F628" s="11"/>
      <c r="G628" s="12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2">
      <c r="A629" s="11"/>
      <c r="B629" s="11"/>
      <c r="C629" s="11"/>
      <c r="D629" s="11"/>
      <c r="E629" s="11"/>
      <c r="F629" s="11"/>
      <c r="G629" s="12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2">
      <c r="A630" s="11"/>
      <c r="B630" s="11"/>
      <c r="C630" s="11"/>
      <c r="D630" s="11"/>
      <c r="E630" s="11"/>
      <c r="F630" s="11"/>
      <c r="G630" s="12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2">
      <c r="A631" s="11"/>
      <c r="B631" s="11"/>
      <c r="C631" s="11"/>
      <c r="D631" s="11"/>
      <c r="E631" s="11"/>
      <c r="F631" s="11"/>
      <c r="G631" s="12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2">
      <c r="A632" s="11"/>
      <c r="B632" s="11"/>
      <c r="C632" s="11"/>
      <c r="D632" s="11"/>
      <c r="E632" s="11"/>
      <c r="F632" s="11"/>
      <c r="G632" s="12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2">
      <c r="A633" s="11"/>
      <c r="B633" s="11"/>
      <c r="C633" s="11"/>
      <c r="D633" s="11"/>
      <c r="E633" s="11"/>
      <c r="F633" s="11"/>
      <c r="G633" s="12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2">
      <c r="A634" s="11"/>
      <c r="B634" s="11"/>
      <c r="C634" s="11"/>
      <c r="D634" s="11"/>
      <c r="E634" s="11"/>
      <c r="F634" s="11"/>
      <c r="G634" s="12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2">
      <c r="A635" s="11"/>
      <c r="B635" s="11"/>
      <c r="C635" s="11"/>
      <c r="D635" s="11"/>
      <c r="E635" s="11"/>
      <c r="F635" s="11"/>
      <c r="G635" s="12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2">
      <c r="A636" s="11"/>
      <c r="B636" s="11"/>
      <c r="C636" s="11"/>
      <c r="D636" s="11"/>
      <c r="E636" s="11"/>
      <c r="F636" s="11"/>
      <c r="G636" s="12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2">
      <c r="A637" s="11"/>
      <c r="B637" s="11"/>
      <c r="C637" s="11"/>
      <c r="D637" s="11"/>
      <c r="E637" s="11"/>
      <c r="F637" s="11"/>
      <c r="G637" s="12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2">
      <c r="A638" s="11"/>
      <c r="B638" s="11"/>
      <c r="C638" s="11"/>
      <c r="D638" s="11"/>
      <c r="E638" s="11"/>
      <c r="F638" s="11"/>
      <c r="G638" s="12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2">
      <c r="A639" s="11"/>
      <c r="B639" s="11"/>
      <c r="C639" s="11"/>
      <c r="D639" s="11"/>
      <c r="E639" s="11"/>
      <c r="F639" s="11"/>
      <c r="G639" s="12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2">
      <c r="A640" s="11"/>
      <c r="B640" s="11"/>
      <c r="C640" s="11"/>
      <c r="D640" s="11"/>
      <c r="E640" s="11"/>
      <c r="F640" s="11"/>
      <c r="G640" s="12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2">
      <c r="A641" s="11"/>
      <c r="B641" s="11"/>
      <c r="C641" s="11"/>
      <c r="D641" s="11"/>
      <c r="E641" s="11"/>
      <c r="F641" s="11"/>
      <c r="G641" s="12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2">
      <c r="A642" s="11"/>
      <c r="B642" s="11"/>
      <c r="C642" s="11"/>
      <c r="D642" s="11"/>
      <c r="E642" s="11"/>
      <c r="F642" s="11"/>
      <c r="G642" s="12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2">
      <c r="A643" s="11"/>
      <c r="B643" s="11"/>
      <c r="C643" s="11"/>
      <c r="D643" s="11"/>
      <c r="E643" s="11"/>
      <c r="F643" s="11"/>
      <c r="G643" s="12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2">
      <c r="A644" s="11"/>
      <c r="B644" s="11"/>
      <c r="C644" s="11"/>
      <c r="D644" s="11"/>
      <c r="E644" s="11"/>
      <c r="F644" s="11"/>
      <c r="G644" s="12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2">
      <c r="A645" s="11"/>
      <c r="B645" s="11"/>
      <c r="C645" s="11"/>
      <c r="D645" s="11"/>
      <c r="E645" s="11"/>
      <c r="F645" s="11"/>
      <c r="G645" s="12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2">
      <c r="A646" s="11"/>
      <c r="B646" s="11"/>
      <c r="C646" s="11"/>
      <c r="D646" s="11"/>
      <c r="E646" s="11"/>
      <c r="F646" s="11"/>
      <c r="G646" s="12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2">
      <c r="A647" s="11"/>
      <c r="B647" s="11"/>
      <c r="C647" s="11"/>
      <c r="D647" s="11"/>
      <c r="E647" s="11"/>
      <c r="F647" s="11"/>
      <c r="G647" s="12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2">
      <c r="A648" s="11"/>
      <c r="B648" s="11"/>
      <c r="C648" s="11"/>
      <c r="D648" s="11"/>
      <c r="E648" s="11"/>
      <c r="F648" s="11"/>
      <c r="G648" s="12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2">
      <c r="A649" s="11"/>
      <c r="B649" s="11"/>
      <c r="C649" s="11"/>
      <c r="D649" s="11"/>
      <c r="E649" s="11"/>
      <c r="F649" s="11"/>
      <c r="G649" s="12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2">
      <c r="A650" s="11"/>
      <c r="B650" s="11"/>
      <c r="C650" s="11"/>
      <c r="D650" s="11"/>
      <c r="E650" s="11"/>
      <c r="F650" s="11"/>
      <c r="G650" s="12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2">
      <c r="A651" s="11"/>
      <c r="B651" s="11"/>
      <c r="C651" s="11"/>
      <c r="D651" s="11"/>
      <c r="E651" s="11"/>
      <c r="F651" s="11"/>
      <c r="G651" s="12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2">
      <c r="A652" s="11"/>
      <c r="B652" s="11"/>
      <c r="C652" s="11"/>
      <c r="D652" s="11"/>
      <c r="E652" s="11"/>
      <c r="F652" s="11"/>
      <c r="G652" s="12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2">
      <c r="A653" s="11"/>
      <c r="B653" s="11"/>
      <c r="C653" s="11"/>
      <c r="D653" s="11"/>
      <c r="E653" s="11"/>
      <c r="F653" s="11"/>
      <c r="G653" s="12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2">
      <c r="A654" s="11"/>
      <c r="B654" s="11"/>
      <c r="C654" s="11"/>
      <c r="D654" s="11"/>
      <c r="E654" s="11"/>
      <c r="F654" s="11"/>
      <c r="G654" s="12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2">
      <c r="A655" s="11"/>
      <c r="B655" s="11"/>
      <c r="C655" s="11"/>
      <c r="D655" s="11"/>
      <c r="E655" s="11"/>
      <c r="F655" s="11"/>
      <c r="G655" s="12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2">
      <c r="A656" s="11"/>
      <c r="B656" s="11"/>
      <c r="C656" s="11"/>
      <c r="D656" s="11"/>
      <c r="E656" s="11"/>
      <c r="F656" s="11"/>
      <c r="G656" s="12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2">
      <c r="A657" s="11"/>
      <c r="B657" s="11"/>
      <c r="C657" s="11"/>
      <c r="D657" s="11"/>
      <c r="E657" s="11"/>
      <c r="F657" s="11"/>
      <c r="G657" s="12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2">
      <c r="A658" s="11"/>
      <c r="B658" s="11"/>
      <c r="C658" s="11"/>
      <c r="D658" s="11"/>
      <c r="E658" s="11"/>
      <c r="F658" s="11"/>
      <c r="G658" s="12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2">
      <c r="A659" s="11"/>
      <c r="B659" s="11"/>
      <c r="C659" s="11"/>
      <c r="D659" s="11"/>
      <c r="E659" s="11"/>
      <c r="F659" s="11"/>
      <c r="G659" s="12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2">
      <c r="A660" s="11"/>
      <c r="B660" s="11"/>
      <c r="C660" s="11"/>
      <c r="D660" s="11"/>
      <c r="E660" s="11"/>
      <c r="F660" s="11"/>
      <c r="G660" s="12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2">
      <c r="A661" s="11"/>
      <c r="B661" s="11"/>
      <c r="C661" s="11"/>
      <c r="D661" s="11"/>
      <c r="E661" s="11"/>
      <c r="F661" s="11"/>
      <c r="G661" s="12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2">
      <c r="A662" s="11"/>
      <c r="B662" s="11"/>
      <c r="C662" s="11"/>
      <c r="D662" s="11"/>
      <c r="E662" s="11"/>
      <c r="F662" s="11"/>
      <c r="G662" s="12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2">
      <c r="A663" s="11"/>
      <c r="B663" s="11"/>
      <c r="C663" s="11"/>
      <c r="D663" s="11"/>
      <c r="E663" s="11"/>
      <c r="F663" s="11"/>
      <c r="G663" s="12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2">
      <c r="A664" s="11"/>
      <c r="B664" s="11"/>
      <c r="C664" s="11"/>
      <c r="D664" s="11"/>
      <c r="E664" s="11"/>
      <c r="F664" s="11"/>
      <c r="G664" s="12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2">
      <c r="A665" s="11"/>
      <c r="B665" s="11"/>
      <c r="C665" s="11"/>
      <c r="D665" s="11"/>
      <c r="E665" s="11"/>
      <c r="F665" s="11"/>
      <c r="G665" s="12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2">
      <c r="A666" s="11"/>
      <c r="B666" s="11"/>
      <c r="C666" s="11"/>
      <c r="D666" s="11"/>
      <c r="E666" s="11"/>
      <c r="F666" s="11"/>
      <c r="G666" s="12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2">
      <c r="A667" s="11"/>
      <c r="B667" s="11"/>
      <c r="C667" s="11"/>
      <c r="D667" s="11"/>
      <c r="E667" s="11"/>
      <c r="F667" s="11"/>
      <c r="G667" s="12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2">
      <c r="A668" s="11"/>
      <c r="B668" s="11"/>
      <c r="C668" s="11"/>
      <c r="D668" s="11"/>
      <c r="E668" s="11"/>
      <c r="F668" s="11"/>
      <c r="G668" s="12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2">
      <c r="A669" s="11"/>
      <c r="B669" s="11"/>
      <c r="C669" s="11"/>
      <c r="D669" s="11"/>
      <c r="E669" s="11"/>
      <c r="F669" s="11"/>
      <c r="G669" s="12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2">
      <c r="A670" s="11"/>
      <c r="B670" s="11"/>
      <c r="C670" s="11"/>
      <c r="D670" s="11"/>
      <c r="E670" s="11"/>
      <c r="F670" s="11"/>
      <c r="G670" s="12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2">
      <c r="A671" s="11"/>
      <c r="B671" s="11"/>
      <c r="C671" s="11"/>
      <c r="D671" s="11"/>
      <c r="E671" s="11"/>
      <c r="F671" s="11"/>
      <c r="G671" s="12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2">
      <c r="A672" s="11"/>
      <c r="B672" s="11"/>
      <c r="C672" s="11"/>
      <c r="D672" s="11"/>
      <c r="E672" s="11"/>
      <c r="F672" s="11"/>
      <c r="G672" s="12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2">
      <c r="A673" s="11"/>
      <c r="B673" s="11"/>
      <c r="C673" s="11"/>
      <c r="D673" s="11"/>
      <c r="E673" s="11"/>
      <c r="F673" s="11"/>
      <c r="G673" s="12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2">
      <c r="A674" s="11"/>
      <c r="B674" s="11"/>
      <c r="C674" s="11"/>
      <c r="D674" s="11"/>
      <c r="E674" s="11"/>
      <c r="F674" s="11"/>
      <c r="G674" s="12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2">
      <c r="A675" s="11"/>
      <c r="B675" s="11"/>
      <c r="C675" s="11"/>
      <c r="D675" s="11"/>
      <c r="E675" s="11"/>
      <c r="F675" s="11"/>
      <c r="G675" s="12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2">
      <c r="A676" s="11"/>
      <c r="B676" s="11"/>
      <c r="C676" s="11"/>
      <c r="D676" s="11"/>
      <c r="E676" s="11"/>
      <c r="F676" s="11"/>
      <c r="G676" s="12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2">
      <c r="A677" s="11"/>
      <c r="B677" s="11"/>
      <c r="C677" s="11"/>
      <c r="D677" s="11"/>
      <c r="E677" s="11"/>
      <c r="F677" s="11"/>
      <c r="G677" s="12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2">
      <c r="A678" s="11"/>
      <c r="B678" s="11"/>
      <c r="C678" s="11"/>
      <c r="D678" s="11"/>
      <c r="E678" s="11"/>
      <c r="F678" s="11"/>
      <c r="G678" s="12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2">
      <c r="A679" s="11"/>
      <c r="B679" s="11"/>
      <c r="C679" s="11"/>
      <c r="D679" s="11"/>
      <c r="E679" s="11"/>
      <c r="F679" s="11"/>
      <c r="G679" s="12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2">
      <c r="A680" s="11"/>
      <c r="B680" s="11"/>
      <c r="C680" s="11"/>
      <c r="D680" s="11"/>
      <c r="E680" s="11"/>
      <c r="F680" s="11"/>
      <c r="G680" s="12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2">
      <c r="A681" s="11"/>
      <c r="B681" s="11"/>
      <c r="C681" s="11"/>
      <c r="D681" s="11"/>
      <c r="E681" s="11"/>
      <c r="F681" s="11"/>
      <c r="G681" s="12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2">
      <c r="A682" s="11"/>
      <c r="B682" s="11"/>
      <c r="C682" s="11"/>
      <c r="D682" s="11"/>
      <c r="E682" s="11"/>
      <c r="F682" s="11"/>
      <c r="G682" s="12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2">
      <c r="A683" s="11"/>
      <c r="B683" s="11"/>
      <c r="C683" s="11"/>
      <c r="D683" s="11"/>
      <c r="E683" s="11"/>
      <c r="F683" s="11"/>
      <c r="G683" s="12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2">
      <c r="A684" s="11"/>
      <c r="B684" s="11"/>
      <c r="C684" s="11"/>
      <c r="D684" s="11"/>
      <c r="E684" s="11"/>
      <c r="F684" s="11"/>
      <c r="G684" s="12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2">
      <c r="A685" s="11"/>
      <c r="B685" s="11"/>
      <c r="C685" s="11"/>
      <c r="D685" s="11"/>
      <c r="E685" s="11"/>
      <c r="F685" s="11"/>
      <c r="G685" s="12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2">
      <c r="A686" s="11"/>
      <c r="B686" s="11"/>
      <c r="C686" s="11"/>
      <c r="D686" s="11"/>
      <c r="E686" s="11"/>
      <c r="F686" s="11"/>
      <c r="G686" s="12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2">
      <c r="A687" s="11"/>
      <c r="B687" s="11"/>
      <c r="C687" s="11"/>
      <c r="D687" s="11"/>
      <c r="E687" s="11"/>
      <c r="F687" s="11"/>
      <c r="G687" s="12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2">
      <c r="A688" s="11"/>
      <c r="B688" s="11"/>
      <c r="C688" s="11"/>
      <c r="D688" s="11"/>
      <c r="E688" s="11"/>
      <c r="F688" s="11"/>
      <c r="G688" s="12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2">
      <c r="A689" s="11"/>
      <c r="B689" s="11"/>
      <c r="C689" s="11"/>
      <c r="D689" s="11"/>
      <c r="E689" s="11"/>
      <c r="F689" s="11"/>
      <c r="G689" s="12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2">
      <c r="A690" s="11"/>
      <c r="B690" s="11"/>
      <c r="C690" s="11"/>
      <c r="D690" s="11"/>
      <c r="E690" s="11"/>
      <c r="F690" s="11"/>
      <c r="G690" s="12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2">
      <c r="A691" s="11"/>
      <c r="B691" s="11"/>
      <c r="C691" s="11"/>
      <c r="D691" s="11"/>
      <c r="E691" s="11"/>
      <c r="F691" s="11"/>
      <c r="G691" s="12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2">
      <c r="A692" s="11"/>
      <c r="B692" s="11"/>
      <c r="C692" s="11"/>
      <c r="D692" s="11"/>
      <c r="E692" s="11"/>
      <c r="F692" s="11"/>
      <c r="G692" s="12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2">
      <c r="A693" s="11"/>
      <c r="B693" s="11"/>
      <c r="C693" s="11"/>
      <c r="D693" s="11"/>
      <c r="E693" s="11"/>
      <c r="F693" s="11"/>
      <c r="G693" s="12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2">
      <c r="A694" s="11"/>
      <c r="B694" s="11"/>
      <c r="C694" s="11"/>
      <c r="D694" s="11"/>
      <c r="E694" s="11"/>
      <c r="F694" s="11"/>
      <c r="G694" s="12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2">
      <c r="A695" s="11"/>
      <c r="B695" s="11"/>
      <c r="C695" s="11"/>
      <c r="D695" s="11"/>
      <c r="E695" s="11"/>
      <c r="F695" s="11"/>
      <c r="G695" s="12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2">
      <c r="A696" s="11"/>
      <c r="B696" s="11"/>
      <c r="C696" s="11"/>
      <c r="D696" s="11"/>
      <c r="E696" s="11"/>
      <c r="F696" s="11"/>
      <c r="G696" s="12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2">
      <c r="A697" s="11"/>
      <c r="B697" s="11"/>
      <c r="C697" s="11"/>
      <c r="D697" s="11"/>
      <c r="E697" s="11"/>
      <c r="F697" s="11"/>
      <c r="G697" s="12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2">
      <c r="A698" s="11"/>
      <c r="B698" s="11"/>
      <c r="C698" s="11"/>
      <c r="D698" s="11"/>
      <c r="E698" s="11"/>
      <c r="F698" s="11"/>
      <c r="G698" s="12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2">
      <c r="A699" s="11"/>
      <c r="B699" s="11"/>
      <c r="C699" s="11"/>
      <c r="D699" s="11"/>
      <c r="E699" s="11"/>
      <c r="F699" s="11"/>
      <c r="G699" s="12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2">
      <c r="A700" s="11"/>
      <c r="B700" s="11"/>
      <c r="C700" s="11"/>
      <c r="D700" s="11"/>
      <c r="E700" s="11"/>
      <c r="F700" s="11"/>
      <c r="G700" s="12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2">
      <c r="A701" s="11"/>
      <c r="B701" s="11"/>
      <c r="C701" s="11"/>
      <c r="D701" s="11"/>
      <c r="E701" s="11"/>
      <c r="F701" s="11"/>
      <c r="G701" s="12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2">
      <c r="A702" s="11"/>
      <c r="B702" s="11"/>
      <c r="C702" s="11"/>
      <c r="D702" s="11"/>
      <c r="E702" s="11"/>
      <c r="F702" s="11"/>
      <c r="G702" s="12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2">
      <c r="A703" s="11"/>
      <c r="B703" s="11"/>
      <c r="C703" s="11"/>
      <c r="D703" s="11"/>
      <c r="E703" s="11"/>
      <c r="F703" s="11"/>
      <c r="G703" s="12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2">
      <c r="A704" s="11"/>
      <c r="B704" s="11"/>
      <c r="C704" s="11"/>
      <c r="D704" s="11"/>
      <c r="E704" s="11"/>
      <c r="F704" s="11"/>
      <c r="G704" s="12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2">
      <c r="A705" s="11"/>
      <c r="B705" s="11"/>
      <c r="C705" s="11"/>
      <c r="D705" s="11"/>
      <c r="E705" s="11"/>
      <c r="F705" s="11"/>
      <c r="G705" s="12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2">
      <c r="A706" s="11"/>
      <c r="B706" s="11"/>
      <c r="C706" s="11"/>
      <c r="D706" s="11"/>
      <c r="E706" s="11"/>
      <c r="F706" s="11"/>
      <c r="G706" s="12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2">
      <c r="A707" s="11"/>
      <c r="B707" s="11"/>
      <c r="C707" s="11"/>
      <c r="D707" s="11"/>
      <c r="E707" s="11"/>
      <c r="F707" s="11"/>
      <c r="G707" s="12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2">
      <c r="A708" s="11"/>
      <c r="B708" s="11"/>
      <c r="C708" s="11"/>
      <c r="D708" s="11"/>
      <c r="E708" s="11"/>
      <c r="F708" s="11"/>
      <c r="G708" s="12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2">
      <c r="A709" s="11"/>
      <c r="B709" s="11"/>
      <c r="C709" s="11"/>
      <c r="D709" s="11"/>
      <c r="E709" s="11"/>
      <c r="F709" s="11"/>
      <c r="G709" s="12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2">
      <c r="A710" s="11"/>
      <c r="B710" s="11"/>
      <c r="C710" s="11"/>
      <c r="D710" s="11"/>
      <c r="E710" s="11"/>
      <c r="F710" s="11"/>
      <c r="G710" s="12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2">
      <c r="A711" s="11"/>
      <c r="B711" s="11"/>
      <c r="C711" s="11"/>
      <c r="D711" s="11"/>
      <c r="E711" s="11"/>
      <c r="F711" s="11"/>
      <c r="G711" s="12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2">
      <c r="A712" s="11"/>
      <c r="B712" s="11"/>
      <c r="C712" s="11"/>
      <c r="D712" s="11"/>
      <c r="E712" s="11"/>
      <c r="F712" s="11"/>
      <c r="G712" s="12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2">
      <c r="A713" s="11"/>
      <c r="B713" s="11"/>
      <c r="C713" s="11"/>
      <c r="D713" s="11"/>
      <c r="E713" s="11"/>
      <c r="F713" s="11"/>
      <c r="G713" s="12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2">
      <c r="A714" s="11"/>
      <c r="B714" s="11"/>
      <c r="C714" s="11"/>
      <c r="D714" s="11"/>
      <c r="E714" s="11"/>
      <c r="F714" s="11"/>
      <c r="G714" s="12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2">
      <c r="A715" s="11"/>
      <c r="B715" s="11"/>
      <c r="C715" s="11"/>
      <c r="D715" s="11"/>
      <c r="E715" s="11"/>
      <c r="F715" s="11"/>
      <c r="G715" s="12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2">
      <c r="A716" s="11"/>
      <c r="B716" s="11"/>
      <c r="C716" s="11"/>
      <c r="D716" s="11"/>
      <c r="E716" s="11"/>
      <c r="F716" s="11"/>
      <c r="G716" s="12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2">
      <c r="A717" s="11"/>
      <c r="B717" s="11"/>
      <c r="C717" s="11"/>
      <c r="D717" s="11"/>
      <c r="E717" s="11"/>
      <c r="F717" s="11"/>
      <c r="G717" s="12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2">
      <c r="A718" s="11"/>
      <c r="B718" s="11"/>
      <c r="C718" s="11"/>
      <c r="D718" s="11"/>
      <c r="E718" s="11"/>
      <c r="F718" s="11"/>
      <c r="G718" s="12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2">
      <c r="A719" s="11"/>
      <c r="B719" s="11"/>
      <c r="C719" s="11"/>
      <c r="D719" s="11"/>
      <c r="E719" s="11"/>
      <c r="F719" s="11"/>
      <c r="G719" s="12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2">
      <c r="A720" s="11"/>
      <c r="B720" s="11"/>
      <c r="C720" s="11"/>
      <c r="D720" s="11"/>
      <c r="E720" s="11"/>
      <c r="F720" s="11"/>
      <c r="G720" s="12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2">
      <c r="A721" s="11"/>
      <c r="B721" s="11"/>
      <c r="C721" s="11"/>
      <c r="D721" s="11"/>
      <c r="E721" s="11"/>
      <c r="F721" s="11"/>
      <c r="G721" s="12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2">
      <c r="A722" s="11"/>
      <c r="B722" s="11"/>
      <c r="C722" s="11"/>
      <c r="D722" s="11"/>
      <c r="E722" s="11"/>
      <c r="F722" s="11"/>
      <c r="G722" s="12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2">
      <c r="A723" s="11"/>
      <c r="B723" s="11"/>
      <c r="C723" s="11"/>
      <c r="D723" s="11"/>
      <c r="E723" s="11"/>
      <c r="F723" s="11"/>
      <c r="G723" s="12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2">
      <c r="A724" s="11"/>
      <c r="B724" s="11"/>
      <c r="C724" s="11"/>
      <c r="D724" s="11"/>
      <c r="E724" s="11"/>
      <c r="F724" s="11"/>
      <c r="G724" s="12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2">
      <c r="A725" s="11"/>
      <c r="B725" s="11"/>
      <c r="C725" s="11"/>
      <c r="D725" s="11"/>
      <c r="E725" s="11"/>
      <c r="F725" s="11"/>
      <c r="G725" s="12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2">
      <c r="A726" s="11"/>
      <c r="B726" s="11"/>
      <c r="C726" s="11"/>
      <c r="D726" s="11"/>
      <c r="E726" s="11"/>
      <c r="F726" s="11"/>
      <c r="G726" s="12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2">
      <c r="A727" s="11"/>
      <c r="B727" s="11"/>
      <c r="C727" s="11"/>
      <c r="D727" s="11"/>
      <c r="E727" s="11"/>
      <c r="F727" s="11"/>
      <c r="G727" s="12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2">
      <c r="A728" s="11"/>
      <c r="B728" s="11"/>
      <c r="C728" s="11"/>
      <c r="D728" s="11"/>
      <c r="E728" s="11"/>
      <c r="F728" s="11"/>
      <c r="G728" s="12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2">
      <c r="A729" s="11"/>
      <c r="B729" s="11"/>
      <c r="C729" s="11"/>
      <c r="D729" s="11"/>
      <c r="E729" s="11"/>
      <c r="F729" s="11"/>
      <c r="G729" s="12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2">
      <c r="A730" s="11"/>
      <c r="B730" s="11"/>
      <c r="C730" s="11"/>
      <c r="D730" s="11"/>
      <c r="E730" s="11"/>
      <c r="F730" s="11"/>
      <c r="G730" s="12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2">
      <c r="A731" s="11"/>
      <c r="B731" s="11"/>
      <c r="C731" s="11"/>
      <c r="D731" s="11"/>
      <c r="E731" s="11"/>
      <c r="F731" s="11"/>
      <c r="G731" s="12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2">
      <c r="A732" s="11"/>
      <c r="B732" s="11"/>
      <c r="C732" s="11"/>
      <c r="D732" s="11"/>
      <c r="E732" s="11"/>
      <c r="F732" s="11"/>
      <c r="G732" s="12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2">
      <c r="A733" s="11"/>
      <c r="B733" s="11"/>
      <c r="C733" s="11"/>
      <c r="D733" s="11"/>
      <c r="E733" s="11"/>
      <c r="F733" s="11"/>
      <c r="G733" s="12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2">
      <c r="A734" s="11"/>
      <c r="B734" s="11"/>
      <c r="C734" s="11"/>
      <c r="D734" s="11"/>
      <c r="E734" s="11"/>
      <c r="F734" s="11"/>
      <c r="G734" s="12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2">
      <c r="A735" s="11"/>
      <c r="B735" s="11"/>
      <c r="C735" s="11"/>
      <c r="D735" s="11"/>
      <c r="E735" s="11"/>
      <c r="F735" s="11"/>
      <c r="G735" s="12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2">
      <c r="A736" s="11"/>
      <c r="B736" s="11"/>
      <c r="C736" s="11"/>
      <c r="D736" s="11"/>
      <c r="E736" s="11"/>
      <c r="F736" s="11"/>
      <c r="G736" s="12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2">
      <c r="A737" s="11"/>
      <c r="B737" s="11"/>
      <c r="C737" s="11"/>
      <c r="D737" s="11"/>
      <c r="E737" s="11"/>
      <c r="F737" s="11"/>
      <c r="G737" s="12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2">
      <c r="A738" s="11"/>
      <c r="B738" s="11"/>
      <c r="C738" s="11"/>
      <c r="D738" s="11"/>
      <c r="E738" s="11"/>
      <c r="F738" s="11"/>
      <c r="G738" s="12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2">
      <c r="A739" s="11"/>
      <c r="B739" s="11"/>
      <c r="C739" s="11"/>
      <c r="D739" s="11"/>
      <c r="E739" s="11"/>
      <c r="F739" s="11"/>
      <c r="G739" s="12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2">
      <c r="A740" s="11"/>
      <c r="B740" s="11"/>
      <c r="C740" s="11"/>
      <c r="D740" s="11"/>
      <c r="E740" s="11"/>
      <c r="F740" s="11"/>
      <c r="G740" s="12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2">
      <c r="A741" s="11"/>
      <c r="B741" s="11"/>
      <c r="C741" s="11"/>
      <c r="D741" s="11"/>
      <c r="E741" s="11"/>
      <c r="F741" s="11"/>
      <c r="G741" s="12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2">
      <c r="A742" s="11"/>
      <c r="B742" s="11"/>
      <c r="C742" s="11"/>
      <c r="D742" s="11"/>
      <c r="E742" s="11"/>
      <c r="F742" s="11"/>
      <c r="G742" s="12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2">
      <c r="A743" s="11"/>
      <c r="B743" s="11"/>
      <c r="C743" s="11"/>
      <c r="D743" s="11"/>
      <c r="E743" s="11"/>
      <c r="F743" s="11"/>
      <c r="G743" s="12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2">
      <c r="A744" s="11"/>
      <c r="B744" s="11"/>
      <c r="C744" s="11"/>
      <c r="D744" s="11"/>
      <c r="E744" s="11"/>
      <c r="F744" s="11"/>
      <c r="G744" s="12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2">
      <c r="A745" s="11"/>
      <c r="B745" s="11"/>
      <c r="C745" s="11"/>
      <c r="D745" s="11"/>
      <c r="E745" s="11"/>
      <c r="F745" s="11"/>
      <c r="G745" s="12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2">
      <c r="A746" s="11"/>
      <c r="B746" s="11"/>
      <c r="C746" s="11"/>
      <c r="D746" s="11"/>
      <c r="E746" s="11"/>
      <c r="F746" s="11"/>
      <c r="G746" s="12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2">
      <c r="A747" s="11"/>
      <c r="B747" s="11"/>
      <c r="C747" s="11"/>
      <c r="D747" s="11"/>
      <c r="E747" s="11"/>
      <c r="F747" s="11"/>
      <c r="G747" s="12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2">
      <c r="A748" s="11"/>
      <c r="B748" s="11"/>
      <c r="C748" s="11"/>
      <c r="D748" s="11"/>
      <c r="E748" s="11"/>
      <c r="F748" s="11"/>
      <c r="G748" s="12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2">
      <c r="A749" s="11"/>
      <c r="B749" s="11"/>
      <c r="C749" s="11"/>
      <c r="D749" s="11"/>
      <c r="E749" s="11"/>
      <c r="F749" s="11"/>
      <c r="G749" s="12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2">
      <c r="A750" s="11"/>
      <c r="B750" s="11"/>
      <c r="C750" s="11"/>
      <c r="D750" s="11"/>
      <c r="E750" s="11"/>
      <c r="F750" s="11"/>
      <c r="G750" s="12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2">
      <c r="A751" s="11"/>
      <c r="B751" s="11"/>
      <c r="C751" s="11"/>
      <c r="D751" s="11"/>
      <c r="E751" s="11"/>
      <c r="F751" s="11"/>
      <c r="G751" s="12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2">
      <c r="A752" s="11"/>
      <c r="B752" s="11"/>
      <c r="C752" s="11"/>
      <c r="D752" s="11"/>
      <c r="E752" s="11"/>
      <c r="F752" s="11"/>
      <c r="G752" s="12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2">
      <c r="A753" s="11"/>
      <c r="B753" s="11"/>
      <c r="C753" s="11"/>
      <c r="D753" s="11"/>
      <c r="E753" s="11"/>
      <c r="F753" s="11"/>
      <c r="G753" s="12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2">
      <c r="A754" s="11"/>
      <c r="B754" s="11"/>
      <c r="C754" s="11"/>
      <c r="D754" s="11"/>
      <c r="E754" s="11"/>
      <c r="F754" s="11"/>
      <c r="G754" s="12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2">
      <c r="A755" s="11"/>
      <c r="B755" s="11"/>
      <c r="C755" s="11"/>
      <c r="D755" s="11"/>
      <c r="E755" s="11"/>
      <c r="F755" s="11"/>
      <c r="G755" s="12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2">
      <c r="A756" s="11"/>
      <c r="B756" s="11"/>
      <c r="C756" s="11"/>
      <c r="D756" s="11"/>
      <c r="E756" s="11"/>
      <c r="F756" s="11"/>
      <c r="G756" s="12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2">
      <c r="A757" s="11"/>
      <c r="B757" s="11"/>
      <c r="C757" s="11"/>
      <c r="D757" s="11"/>
      <c r="E757" s="11"/>
      <c r="F757" s="11"/>
      <c r="G757" s="12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2">
      <c r="A758" s="11"/>
      <c r="B758" s="11"/>
      <c r="C758" s="11"/>
      <c r="D758" s="11"/>
      <c r="E758" s="11"/>
      <c r="F758" s="11"/>
      <c r="G758" s="12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2">
      <c r="A759" s="11"/>
      <c r="B759" s="11"/>
      <c r="C759" s="11"/>
      <c r="D759" s="11"/>
      <c r="E759" s="11"/>
      <c r="F759" s="11"/>
      <c r="G759" s="12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2">
      <c r="A760" s="11"/>
      <c r="B760" s="11"/>
      <c r="C760" s="11"/>
      <c r="D760" s="11"/>
      <c r="E760" s="11"/>
      <c r="F760" s="11"/>
      <c r="G760" s="12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2">
      <c r="A761" s="11"/>
      <c r="B761" s="11"/>
      <c r="C761" s="11"/>
      <c r="D761" s="11"/>
      <c r="E761" s="11"/>
      <c r="F761" s="11"/>
      <c r="G761" s="12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2">
      <c r="A762" s="11"/>
      <c r="B762" s="11"/>
      <c r="C762" s="11"/>
      <c r="D762" s="11"/>
      <c r="E762" s="11"/>
      <c r="F762" s="11"/>
      <c r="G762" s="12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2">
      <c r="A763" s="11"/>
      <c r="B763" s="11"/>
      <c r="C763" s="11"/>
      <c r="D763" s="11"/>
      <c r="E763" s="11"/>
      <c r="F763" s="11"/>
      <c r="G763" s="12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2">
      <c r="A764" s="11"/>
      <c r="B764" s="11"/>
      <c r="C764" s="11"/>
      <c r="D764" s="11"/>
      <c r="E764" s="11"/>
      <c r="F764" s="11"/>
      <c r="G764" s="12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2">
      <c r="A765" s="11"/>
      <c r="B765" s="11"/>
      <c r="C765" s="11"/>
      <c r="D765" s="11"/>
      <c r="E765" s="11"/>
      <c r="F765" s="11"/>
      <c r="G765" s="12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2">
      <c r="A766" s="11"/>
      <c r="B766" s="11"/>
      <c r="C766" s="11"/>
      <c r="D766" s="11"/>
      <c r="E766" s="11"/>
      <c r="F766" s="11"/>
      <c r="G766" s="12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2">
      <c r="A767" s="11"/>
      <c r="B767" s="11"/>
      <c r="C767" s="11"/>
      <c r="D767" s="11"/>
      <c r="E767" s="11"/>
      <c r="F767" s="11"/>
      <c r="G767" s="12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2">
      <c r="A768" s="11"/>
      <c r="B768" s="11"/>
      <c r="C768" s="11"/>
      <c r="D768" s="11"/>
      <c r="E768" s="11"/>
      <c r="F768" s="11"/>
      <c r="G768" s="12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2">
      <c r="A769" s="11"/>
      <c r="B769" s="11"/>
      <c r="C769" s="11"/>
      <c r="D769" s="11"/>
      <c r="E769" s="11"/>
      <c r="F769" s="11"/>
      <c r="G769" s="12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2">
      <c r="A770" s="11"/>
      <c r="B770" s="11"/>
      <c r="C770" s="11"/>
      <c r="D770" s="11"/>
      <c r="E770" s="11"/>
      <c r="F770" s="11"/>
      <c r="G770" s="12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2">
      <c r="A771" s="11"/>
      <c r="B771" s="11"/>
      <c r="C771" s="11"/>
      <c r="D771" s="11"/>
      <c r="E771" s="11"/>
      <c r="F771" s="11"/>
      <c r="G771" s="12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2">
      <c r="A772" s="11"/>
      <c r="B772" s="11"/>
      <c r="C772" s="11"/>
      <c r="D772" s="11"/>
      <c r="E772" s="11"/>
      <c r="F772" s="11"/>
      <c r="G772" s="12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2">
      <c r="A773" s="11"/>
      <c r="B773" s="11"/>
      <c r="C773" s="11"/>
      <c r="D773" s="11"/>
      <c r="E773" s="11"/>
      <c r="F773" s="11"/>
      <c r="G773" s="12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2">
      <c r="A774" s="11"/>
      <c r="B774" s="11"/>
      <c r="C774" s="11"/>
      <c r="D774" s="11"/>
      <c r="E774" s="11"/>
      <c r="F774" s="11"/>
      <c r="G774" s="12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2">
      <c r="A775" s="11"/>
      <c r="B775" s="11"/>
      <c r="C775" s="11"/>
      <c r="D775" s="11"/>
      <c r="E775" s="11"/>
      <c r="F775" s="11"/>
      <c r="G775" s="12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2">
      <c r="A776" s="11"/>
      <c r="B776" s="11"/>
      <c r="C776" s="11"/>
      <c r="D776" s="11"/>
      <c r="E776" s="11"/>
      <c r="F776" s="11"/>
      <c r="G776" s="12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2">
      <c r="A777" s="11"/>
      <c r="B777" s="11"/>
      <c r="C777" s="11"/>
      <c r="D777" s="11"/>
      <c r="E777" s="11"/>
      <c r="F777" s="11"/>
      <c r="G777" s="12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2">
      <c r="A778" s="11"/>
      <c r="B778" s="11"/>
      <c r="C778" s="11"/>
      <c r="D778" s="11"/>
      <c r="E778" s="11"/>
      <c r="F778" s="11"/>
      <c r="G778" s="12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2">
      <c r="A779" s="11"/>
      <c r="B779" s="11"/>
      <c r="C779" s="11"/>
      <c r="D779" s="11"/>
      <c r="E779" s="11"/>
      <c r="F779" s="11"/>
      <c r="G779" s="12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2">
      <c r="A780" s="11"/>
      <c r="B780" s="11"/>
      <c r="C780" s="11"/>
      <c r="D780" s="11"/>
      <c r="E780" s="11"/>
      <c r="F780" s="11"/>
      <c r="G780" s="12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2">
      <c r="A781" s="11"/>
      <c r="B781" s="11"/>
      <c r="C781" s="11"/>
      <c r="D781" s="11"/>
      <c r="E781" s="11"/>
      <c r="F781" s="11"/>
      <c r="G781" s="12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2">
      <c r="A782" s="11"/>
      <c r="B782" s="11"/>
      <c r="C782" s="11"/>
      <c r="D782" s="11"/>
      <c r="E782" s="11"/>
      <c r="F782" s="11"/>
      <c r="G782" s="12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2">
      <c r="A783" s="11"/>
      <c r="B783" s="11"/>
      <c r="C783" s="11"/>
      <c r="D783" s="11"/>
      <c r="E783" s="11"/>
      <c r="F783" s="11"/>
      <c r="G783" s="12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2">
      <c r="A784" s="11"/>
      <c r="B784" s="11"/>
      <c r="C784" s="11"/>
      <c r="D784" s="11"/>
      <c r="E784" s="11"/>
      <c r="F784" s="11"/>
      <c r="G784" s="12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2">
      <c r="A785" s="11"/>
      <c r="B785" s="11"/>
      <c r="C785" s="11"/>
      <c r="D785" s="11"/>
      <c r="E785" s="11"/>
      <c r="F785" s="11"/>
      <c r="G785" s="12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2">
      <c r="A786" s="11"/>
      <c r="B786" s="11"/>
      <c r="C786" s="11"/>
      <c r="D786" s="11"/>
      <c r="E786" s="11"/>
      <c r="F786" s="11"/>
      <c r="G786" s="12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2">
      <c r="A787" s="11"/>
      <c r="B787" s="11"/>
      <c r="C787" s="11"/>
      <c r="D787" s="11"/>
      <c r="E787" s="11"/>
      <c r="F787" s="11"/>
      <c r="G787" s="12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2">
      <c r="A788" s="11"/>
      <c r="B788" s="11"/>
      <c r="C788" s="11"/>
      <c r="D788" s="11"/>
      <c r="E788" s="11"/>
      <c r="F788" s="11"/>
      <c r="G788" s="12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2">
      <c r="A789" s="11"/>
      <c r="B789" s="11"/>
      <c r="C789" s="11"/>
      <c r="D789" s="11"/>
      <c r="E789" s="11"/>
      <c r="F789" s="11"/>
      <c r="G789" s="12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</sheetData>
  <autoFilter ref="A1:AB1" xr:uid="{00000000-0001-0000-0000-000000000000}">
    <sortState xmlns:xlrd2="http://schemas.microsoft.com/office/spreadsheetml/2017/richdata2" ref="A2:AB33">
      <sortCondition ref="AA1"/>
    </sortState>
  </autoFilter>
  <conditionalFormatting sqref="C1:C1048576">
    <cfRule type="duplicateValues" dxfId="1" priority="1"/>
  </conditionalFormatting>
  <hyperlinks>
    <hyperlink ref="H3" r:id="rId1" xr:uid="{00000000-0004-0000-0000-000000000000}"/>
    <hyperlink ref="I3" r:id="rId2" xr:uid="{00000000-0004-0000-0000-000001000000}"/>
    <hyperlink ref="V3" r:id="rId3" xr:uid="{00000000-0004-0000-0000-000002000000}"/>
    <hyperlink ref="H2" r:id="rId4" xr:uid="{00000000-0004-0000-0000-000003000000}"/>
    <hyperlink ref="I2" r:id="rId5" xr:uid="{00000000-0004-0000-0000-000004000000}"/>
    <hyperlink ref="V2" r:id="rId6" xr:uid="{00000000-0004-0000-0000-000005000000}"/>
    <hyperlink ref="H15" r:id="rId7" xr:uid="{00000000-0004-0000-0000-000006000000}"/>
    <hyperlink ref="I15" r:id="rId8" xr:uid="{00000000-0004-0000-0000-000007000000}"/>
    <hyperlink ref="H18" r:id="rId9" xr:uid="{00000000-0004-0000-0000-000008000000}"/>
    <hyperlink ref="I18" r:id="rId10" xr:uid="{00000000-0004-0000-0000-000009000000}"/>
    <hyperlink ref="V18" r:id="rId11" xr:uid="{00000000-0004-0000-0000-00000A000000}"/>
    <hyperlink ref="W18" r:id="rId12" xr:uid="{00000000-0004-0000-0000-00000B000000}"/>
    <hyperlink ref="H17" r:id="rId13" xr:uid="{00000000-0004-0000-0000-00000C000000}"/>
    <hyperlink ref="I17" r:id="rId14" xr:uid="{00000000-0004-0000-0000-00000D000000}"/>
    <hyperlink ref="V17" r:id="rId15" xr:uid="{00000000-0004-0000-0000-00000E000000}"/>
    <hyperlink ref="H16" r:id="rId16" xr:uid="{00000000-0004-0000-0000-00000F000000}"/>
    <hyperlink ref="I16" r:id="rId17" xr:uid="{00000000-0004-0000-0000-000010000000}"/>
    <hyperlink ref="V16" r:id="rId18" xr:uid="{00000000-0004-0000-0000-000011000000}"/>
    <hyperlink ref="W16" r:id="rId19" xr:uid="{00000000-0004-0000-0000-000012000000}"/>
    <hyperlink ref="I21" r:id="rId20" xr:uid="{00000000-0004-0000-0000-000013000000}"/>
    <hyperlink ref="V21" r:id="rId21" xr:uid="{00000000-0004-0000-0000-000014000000}"/>
    <hyperlink ref="I20" r:id="rId22" xr:uid="{00000000-0004-0000-0000-000015000000}"/>
    <hyperlink ref="V20" r:id="rId23" xr:uid="{00000000-0004-0000-0000-000016000000}"/>
    <hyperlink ref="I19" r:id="rId24" xr:uid="{00000000-0004-0000-0000-000017000000}"/>
    <hyperlink ref="V19" r:id="rId25" xr:uid="{00000000-0004-0000-0000-000018000000}"/>
    <hyperlink ref="H22" r:id="rId26" xr:uid="{00000000-0004-0000-0000-000019000000}"/>
    <hyperlink ref="I22" r:id="rId27" xr:uid="{00000000-0004-0000-0000-00001A000000}"/>
    <hyperlink ref="V22" r:id="rId28" xr:uid="{00000000-0004-0000-0000-00001B000000}"/>
    <hyperlink ref="H24" r:id="rId29" xr:uid="{00000000-0004-0000-0000-00001C000000}"/>
    <hyperlink ref="V24" r:id="rId30" xr:uid="{00000000-0004-0000-0000-00001D000000}"/>
    <hyperlink ref="H23" r:id="rId31" xr:uid="{00000000-0004-0000-0000-00001E000000}"/>
    <hyperlink ref="V23" r:id="rId32" xr:uid="{00000000-0004-0000-0000-00001F000000}"/>
    <hyperlink ref="H27" r:id="rId33" xr:uid="{00000000-0004-0000-0000-000020000000}"/>
    <hyperlink ref="I27" r:id="rId34" xr:uid="{00000000-0004-0000-0000-000021000000}"/>
    <hyperlink ref="V27" r:id="rId35" xr:uid="{00000000-0004-0000-0000-000022000000}"/>
    <hyperlink ref="W27" r:id="rId36" xr:uid="{00000000-0004-0000-0000-000023000000}"/>
    <hyperlink ref="H28" r:id="rId37" xr:uid="{00000000-0004-0000-0000-000024000000}"/>
    <hyperlink ref="I28" r:id="rId38" xr:uid="{00000000-0004-0000-0000-000025000000}"/>
    <hyperlink ref="H29" r:id="rId39" xr:uid="{00000000-0004-0000-0000-000026000000}"/>
    <hyperlink ref="I29" r:id="rId40" xr:uid="{00000000-0004-0000-0000-000027000000}"/>
    <hyperlink ref="H31" r:id="rId41" xr:uid="{00000000-0004-0000-0000-000028000000}"/>
    <hyperlink ref="I31" r:id="rId42" xr:uid="{00000000-0004-0000-0000-000029000000}"/>
    <hyperlink ref="V31" r:id="rId43" xr:uid="{00000000-0004-0000-0000-00002A000000}"/>
    <hyperlink ref="H30" r:id="rId44" xr:uid="{00000000-0004-0000-0000-00002B000000}"/>
    <hyperlink ref="I30" r:id="rId45" xr:uid="{00000000-0004-0000-0000-00002C000000}"/>
    <hyperlink ref="V30" r:id="rId46" xr:uid="{00000000-0004-0000-0000-00002D000000}"/>
    <hyperlink ref="H32" r:id="rId47" xr:uid="{00000000-0004-0000-0000-00002E000000}"/>
    <hyperlink ref="I32" r:id="rId48" xr:uid="{00000000-0004-0000-0000-00002F000000}"/>
    <hyperlink ref="V32" r:id="rId49" xr:uid="{00000000-0004-0000-0000-000030000000}"/>
    <hyperlink ref="H33" r:id="rId50" xr:uid="{00000000-0004-0000-0000-000031000000}"/>
    <hyperlink ref="I33" r:id="rId51" xr:uid="{00000000-0004-0000-0000-000032000000}"/>
    <hyperlink ref="V33" r:id="rId52" xr:uid="{00000000-0004-0000-0000-000033000000}"/>
    <hyperlink ref="H25" r:id="rId53" xr:uid="{00000000-0004-0000-0000-000034000000}"/>
    <hyperlink ref="I25" r:id="rId54" xr:uid="{00000000-0004-0000-0000-000035000000}"/>
    <hyperlink ref="V25" r:id="rId55" xr:uid="{00000000-0004-0000-0000-000036000000}"/>
    <hyperlink ref="W25" r:id="rId56" xr:uid="{00000000-0004-0000-0000-000037000000}"/>
    <hyperlink ref="H26" r:id="rId57" xr:uid="{00000000-0004-0000-0000-000038000000}"/>
    <hyperlink ref="I26" r:id="rId58" xr:uid="{00000000-0004-0000-0000-000039000000}"/>
    <hyperlink ref="V26" r:id="rId59" xr:uid="{00000000-0004-0000-0000-00003A000000}"/>
    <hyperlink ref="W26" r:id="rId60" xr:uid="{00000000-0004-0000-0000-00003B000000}"/>
    <hyperlink ref="H7" r:id="rId61" xr:uid="{00000000-0004-0000-0000-00003C000000}"/>
    <hyperlink ref="I7" r:id="rId62" xr:uid="{00000000-0004-0000-0000-00003D000000}"/>
    <hyperlink ref="H8" r:id="rId63" xr:uid="{00000000-0004-0000-0000-00003E000000}"/>
    <hyperlink ref="I8" r:id="rId64" xr:uid="{00000000-0004-0000-0000-00003F000000}"/>
    <hyperlink ref="H10" r:id="rId65" xr:uid="{00000000-0004-0000-0000-000040000000}"/>
    <hyperlink ref="W10" r:id="rId66" xr:uid="{00000000-0004-0000-0000-000041000000}"/>
    <hyperlink ref="H9" r:id="rId67" xr:uid="{00000000-0004-0000-0000-000042000000}"/>
    <hyperlink ref="W9" r:id="rId68" xr:uid="{00000000-0004-0000-0000-000043000000}"/>
    <hyperlink ref="H11" r:id="rId69" xr:uid="{00000000-0004-0000-0000-000044000000}"/>
    <hyperlink ref="I11" r:id="rId70" xr:uid="{00000000-0004-0000-0000-000045000000}"/>
    <hyperlink ref="H12" r:id="rId71" xr:uid="{00000000-0004-0000-0000-000046000000}"/>
    <hyperlink ref="I12" r:id="rId72" xr:uid="{00000000-0004-0000-0000-000047000000}"/>
    <hyperlink ref="H14" r:id="rId73" xr:uid="{00000000-0004-0000-0000-000048000000}"/>
    <hyperlink ref="I14" r:id="rId74" xr:uid="{00000000-0004-0000-0000-000049000000}"/>
    <hyperlink ref="H13" r:id="rId75" xr:uid="{00000000-0004-0000-0000-00004A000000}"/>
    <hyperlink ref="I13" r:id="rId76" xr:uid="{00000000-0004-0000-0000-00004B000000}"/>
    <hyperlink ref="H4" r:id="rId77" xr:uid="{00000000-0004-0000-0000-00004C000000}"/>
    <hyperlink ref="I4" r:id="rId78" xr:uid="{00000000-0004-0000-0000-00004D000000}"/>
    <hyperlink ref="H5" r:id="rId79" xr:uid="{00000000-0004-0000-0000-00004E000000}"/>
    <hyperlink ref="I5" r:id="rId80" xr:uid="{00000000-0004-0000-0000-00004F000000}"/>
    <hyperlink ref="H6" r:id="rId81" xr:uid="{00000000-0004-0000-0000-000050000000}"/>
    <hyperlink ref="I6" r:id="rId82" xr:uid="{00000000-0004-0000-0000-00005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29D2-540C-4A63-ABEA-9ACA89BEBE09}">
  <dimension ref="A1:C33"/>
  <sheetViews>
    <sheetView workbookViewId="0">
      <selection activeCell="F12" sqref="F12"/>
    </sheetView>
  </sheetViews>
  <sheetFormatPr defaultRowHeight="12.75" x14ac:dyDescent="0.2"/>
  <cols>
    <col min="1" max="1" width="89" bestFit="1" customWidth="1"/>
    <col min="2" max="2" width="7.85546875" bestFit="1" customWidth="1"/>
    <col min="3" max="3" width="68.42578125" bestFit="1" customWidth="1"/>
  </cols>
  <sheetData>
    <row r="1" spans="1:3" x14ac:dyDescent="0.2">
      <c r="A1" s="15" t="str" cm="1">
        <f t="array" ref="A1:C33">'Client Data Order'!AA1:AC33</f>
        <v>MESH KEY</v>
      </c>
      <c r="B1" s="16" t="str">
        <v>Mesh ID</v>
      </c>
      <c r="C1" s="16" t="str">
        <v>All Material</v>
      </c>
    </row>
    <row r="2" spans="1:3" x14ac:dyDescent="0.2">
      <c r="A2" t="str">
        <v>111 Navy Chair | 34" H 15½" W 19½" D</v>
      </c>
      <c r="B2" t="str">
        <v>M001</v>
      </c>
      <c r="C2" t="str">
        <v>Configuration = Side Chair, Color = Cypress Green</v>
      </c>
    </row>
    <row r="3" spans="1:3" x14ac:dyDescent="0.2">
      <c r="A3" t="str">
        <v>111 Navy Chair | 34" H 15½" W 19½" D</v>
      </c>
      <c r="B3" t="str">
        <v>M001</v>
      </c>
      <c r="C3" t="str">
        <v>Configuration = Side Chair, Color = Bordeaux</v>
      </c>
    </row>
    <row r="4" spans="1:3" x14ac:dyDescent="0.2">
      <c r="A4" t="str">
        <v>Blis Ottoman | 16⅝" H 22½" W 22½" D</v>
      </c>
      <c r="B4" t="str">
        <v>M016</v>
      </c>
      <c r="C4" t="str">
        <v>Frame Finish = Black, Upholstery = Oxbow, Color = Trope</v>
      </c>
    </row>
    <row r="5" spans="1:3" x14ac:dyDescent="0.2">
      <c r="A5" t="str">
        <v>Blis Swivel Chair | 34¼" H 30¾" W 30" D</v>
      </c>
      <c r="B5" t="str">
        <v>M017</v>
      </c>
      <c r="C5" t="str">
        <v>Frame Finish = Black, Upholstery = Oxbow, Color = Trope</v>
      </c>
    </row>
    <row r="6" spans="1:3" x14ac:dyDescent="0.2">
      <c r="A6" t="str">
        <v>Blis Swivel Chair and Ottoman | Chair:34¼" H 30¾" W 30" D Chair:16⅝" H Chair:22½" W Chair:22½" D</v>
      </c>
      <c r="B6" t="str">
        <v>M018</v>
      </c>
      <c r="C6" t="str">
        <v>Frame Finish = Black, Upholstery = Oxbow, Color = Trope</v>
      </c>
    </row>
    <row r="7" spans="1:3" x14ac:dyDescent="0.2">
      <c r="A7" t="str">
        <v>Cube Armchair | 27" H 33½" W 31½" D</v>
      </c>
      <c r="B7" t="str">
        <v>M014</v>
      </c>
      <c r="C7" t="str">
        <v>Upholstery = Beck, Color = Retrospect, Leg = Oak</v>
      </c>
    </row>
    <row r="8" spans="1:3" x14ac:dyDescent="0.2">
      <c r="A8" t="str">
        <v>Cube Armchair | 27" H 33½" W 31½" D</v>
      </c>
      <c r="B8" t="str">
        <v>M014</v>
      </c>
      <c r="C8" t="str">
        <v>Upholstery = Beck, Color = Retrospect, Leg = Walnut</v>
      </c>
    </row>
    <row r="9" spans="1:3" x14ac:dyDescent="0.2">
      <c r="A9" t="str">
        <v>Cube Armchair | 27" H 33½" W 31½" D</v>
      </c>
      <c r="B9" t="str">
        <v>M014</v>
      </c>
      <c r="C9" t="str">
        <v>Upholstery = Epingle Stripe, Color = Caramel, Leg = Walnut</v>
      </c>
    </row>
    <row r="10" spans="1:3" x14ac:dyDescent="0.2">
      <c r="A10" t="str">
        <v>Cube Armchair | 27" H 33½" W 31½" D</v>
      </c>
      <c r="B10" t="str">
        <v>M014</v>
      </c>
      <c r="C10" t="str">
        <v>Upholstery = Epingle Stripe, Color = Caramel, Leg = Oak</v>
      </c>
    </row>
    <row r="11" spans="1:3" x14ac:dyDescent="0.2">
      <c r="A11" t="str">
        <v>Cube Sofa | 27" H 81½" W 31½" D</v>
      </c>
      <c r="B11" t="str">
        <v>M015</v>
      </c>
      <c r="C11" t="str">
        <v>Size = 80", Upholstery = Beck, Color = Retrospect, Leg = Oak</v>
      </c>
    </row>
    <row r="12" spans="1:3" x14ac:dyDescent="0.2">
      <c r="A12" t="str">
        <v>Cube Sofa | 27" H 81½" W 31½" D</v>
      </c>
      <c r="B12" t="str">
        <v>M015</v>
      </c>
      <c r="C12" t="str">
        <v>Size = 80", Upholstery = Beck, Color = Retrospect, Leg = Walnut</v>
      </c>
    </row>
    <row r="13" spans="1:3" x14ac:dyDescent="0.2">
      <c r="A13" t="str">
        <v>Cube Sofa | 27" H 81½" W 31½" D</v>
      </c>
      <c r="B13" t="str">
        <v>M015</v>
      </c>
      <c r="C13" t="str">
        <v>Size = 80", Upholstery = Toostripe, Color = Ochre Dark / Sienna, Leg = Walnut</v>
      </c>
    </row>
    <row r="14" spans="1:3" x14ac:dyDescent="0.2">
      <c r="A14" t="str">
        <v>Cube Sofa | 27" H 81½" W 31½" D</v>
      </c>
      <c r="B14" t="str">
        <v>M015</v>
      </c>
      <c r="C14" t="str">
        <v>Size = 80", Upholstery = Toostripe, Color = Ochre Dark / Sienna, Leg = Oak</v>
      </c>
    </row>
    <row r="15" spans="1:3" x14ac:dyDescent="0.2">
      <c r="A15" t="str">
        <v>Foldable Star Sculptures | 7" DIA</v>
      </c>
      <c r="B15" t="str">
        <v>M002</v>
      </c>
      <c r="C15" t="str">
        <v>Size = 7"</v>
      </c>
    </row>
    <row r="16" spans="1:3" x14ac:dyDescent="0.2">
      <c r="A16" t="str">
        <v>Kink Vase | 10⅜" H 10⅞" W 5" DIA</v>
      </c>
      <c r="B16" t="str">
        <v>M004</v>
      </c>
      <c r="C16" t="str">
        <v>Size = Standard, Color = Sand</v>
      </c>
    </row>
    <row r="17" spans="1:3" x14ac:dyDescent="0.2">
      <c r="A17" t="str">
        <v>Kink Vase | 15⅜" H 15¾" W 7½" DIA</v>
      </c>
      <c r="B17" t="str">
        <v>M003</v>
      </c>
      <c r="C17" t="str">
        <v>Size = Standard, Color = Deep Red</v>
      </c>
    </row>
    <row r="18" spans="1:3" x14ac:dyDescent="0.2">
      <c r="A18" t="str">
        <v>Kink Vase | 15⅜" H 15¾" W 7½" DIA</v>
      </c>
      <c r="B18" t="str">
        <v>M003</v>
      </c>
      <c r="C18" t="str">
        <v>Size = Large, Color = Sand</v>
      </c>
    </row>
    <row r="19" spans="1:3" x14ac:dyDescent="0.2">
      <c r="A19" t="str">
        <v xml:space="preserve">Mode Pillow | </v>
      </c>
      <c r="B19" t="str">
        <v>M006</v>
      </c>
      <c r="C19" t="str">
        <v>Color = Saltwater Jetty, Size = 18x18"</v>
      </c>
    </row>
    <row r="20" spans="1:3" x14ac:dyDescent="0.2">
      <c r="A20" t="str">
        <v xml:space="preserve">Mode Pillow | </v>
      </c>
      <c r="B20" t="str">
        <v>M006</v>
      </c>
      <c r="C20" t="str">
        <v>Color = Saltwater Jetty, Size = 12x22"</v>
      </c>
    </row>
    <row r="21" spans="1:3" x14ac:dyDescent="0.2">
      <c r="A21" t="str">
        <v>Mode Pillow | 12" H 22" W 5" D</v>
      </c>
      <c r="B21" t="str">
        <v>M005</v>
      </c>
      <c r="C21" t="str">
        <v>Color = Lioness Rust, Size = 12x22"</v>
      </c>
    </row>
    <row r="22" spans="1:3" x14ac:dyDescent="0.2">
      <c r="A22" t="str">
        <v>Mode Pillow | 20" H 20" W 5" D</v>
      </c>
      <c r="B22" t="str">
        <v>M007</v>
      </c>
      <c r="C22" t="str">
        <v>Color = Lioness Rust, Size = 20x20"</v>
      </c>
    </row>
    <row r="23" spans="1:3" x14ac:dyDescent="0.2">
      <c r="A23" t="str">
        <v>Plush Extension Dining Table | 28⅜" H 94½" W 55⅛" DIA</v>
      </c>
      <c r="B23" t="str">
        <v>M008</v>
      </c>
      <c r="C23" t="str">
        <v>Finish = Walnut</v>
      </c>
    </row>
    <row r="24" spans="1:3" x14ac:dyDescent="0.2">
      <c r="A24" t="str">
        <v>Plush Extension Dining Table | 28⅜" H 94½" W 55⅛" DIA</v>
      </c>
      <c r="B24" t="str">
        <v>M008</v>
      </c>
      <c r="C24" t="str">
        <v>Finish = Oak</v>
      </c>
    </row>
    <row r="25" spans="1:3" x14ac:dyDescent="0.2">
      <c r="A25" t="str">
        <v>Sculptura Chair | 33" H 29¾" W 27¾" D</v>
      </c>
      <c r="B25" t="str">
        <v>M012</v>
      </c>
      <c r="C25" t="str">
        <v>Color = Black</v>
      </c>
    </row>
    <row r="26" spans="1:3" x14ac:dyDescent="0.2">
      <c r="A26" t="str">
        <v>Sculptura Chair Cushion | 2" H 24" W 18" D</v>
      </c>
      <c r="B26" t="str">
        <v>M013</v>
      </c>
      <c r="C26" t="str">
        <v>Color = White</v>
      </c>
    </row>
    <row r="27" spans="1:3" x14ac:dyDescent="0.2">
      <c r="A27" t="str">
        <v>Sheepskin Throw | 2" H 41" W 82" D</v>
      </c>
      <c r="B27" t="str">
        <v>M009</v>
      </c>
      <c r="C27" t="str">
        <v>Size = Quadrat, Color = Light Grey</v>
      </c>
    </row>
    <row r="28" spans="1:3" x14ac:dyDescent="0.2">
      <c r="A28" t="str">
        <v>Uchiwa Ottoman | 15¼" H 24" W 19¼" D</v>
      </c>
      <c r="B28" t="str">
        <v>M010</v>
      </c>
      <c r="C28" t="str">
        <v>Color = Divina 691 Mauve / Remix 692 Plum, Leg = Walnut</v>
      </c>
    </row>
    <row r="29" spans="1:3" x14ac:dyDescent="0.2">
      <c r="A29" t="str">
        <v>Uchiwa Ottoman | 15¼" H 24" W 19¼" D</v>
      </c>
      <c r="B29" t="str">
        <v>M010</v>
      </c>
      <c r="C29" t="str">
        <v>Color = Mode Clavicle / Remix 242 Birch, Leg = Walnut</v>
      </c>
    </row>
    <row r="30" spans="1:3" x14ac:dyDescent="0.2">
      <c r="A30" t="str">
        <v>VP1 Flowerpot Pendant | 6⅜" H 9⅛" W 9⅛" DIA</v>
      </c>
      <c r="B30" t="str">
        <v>M011</v>
      </c>
      <c r="C30" t="str">
        <v>Color = Signal Green</v>
      </c>
    </row>
    <row r="31" spans="1:3" x14ac:dyDescent="0.2">
      <c r="A31" t="str">
        <v>VP1 Flowerpot Pendant | 6⅜" H 9⅛" W 9⅛" DIA</v>
      </c>
      <c r="B31" t="str">
        <v>M011</v>
      </c>
      <c r="C31" t="str">
        <v>Color = Mustard</v>
      </c>
    </row>
    <row r="32" spans="1:3" x14ac:dyDescent="0.2">
      <c r="A32" t="str">
        <v>VP1 Flowerpot Pendant | 6⅜" H 9⅛" W 9⅛" DIA</v>
      </c>
      <c r="B32" t="str">
        <v>M011</v>
      </c>
      <c r="C32" t="str">
        <v>Color = Stone Blue</v>
      </c>
    </row>
    <row r="33" spans="1:3" x14ac:dyDescent="0.2">
      <c r="A33" t="str">
        <v>VP1 Flowerpot Pendant | 6⅜" H 9⅛" W 9⅛" DIA</v>
      </c>
      <c r="B33" t="str">
        <v>M011</v>
      </c>
      <c r="C33" t="str">
        <v>Color = Swim Blue</v>
      </c>
    </row>
  </sheetData>
  <autoFilter ref="A1:C33" xr:uid="{8F2229D2-540C-4A63-ABEA-9ACA89BEBE0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>
      <selection activeCell="J13" sqref="J13"/>
    </sheetView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413D32-280F-4FC7-98A6-AD0574A3B4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 Data Order Clearned</vt:lpstr>
      <vt:lpstr>Client Data Order</vt:lpstr>
      <vt:lpstr>Mesh</vt:lpstr>
      <vt:lpstr>Summary &amp;  Questions</vt:lpstr>
      <vt:lpstr>3D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Shrivastav</cp:lastModifiedBy>
  <dcterms:modified xsi:type="dcterms:W3CDTF">2026-01-19T19:26:17Z</dcterms:modified>
</cp:coreProperties>
</file>
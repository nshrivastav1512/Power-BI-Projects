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ri\Downloads\"/>
    </mc:Choice>
  </mc:AlternateContent>
  <xr:revisionPtr revIDLastSave="0" documentId="13_ncr:1_{7BDF4413-C9C2-4BAC-B884-25DFD4F2207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lient Data Order" sheetId="1" r:id="rId1"/>
    <sheet name="Sheet4" sheetId="2" r:id="rId2"/>
    <sheet name="Summary &amp;  Questions" sheetId="3" r:id="rId3"/>
    <sheet name="3D Order" sheetId="4" r:id="rId4"/>
    <sheet name="Client Data Order (1)" sheetId="5" r:id="rId5"/>
    <sheet name="Summary &amp; Questions" sheetId="6" r:id="rId6"/>
    <sheet name="Mesh Summary" sheetId="7" r:id="rId7"/>
    <sheet name="Materials" sheetId="8" r:id="rId8"/>
    <sheet name="3D Order (1)" sheetId="9" r:id="rId9"/>
  </sheets>
  <definedNames>
    <definedName name="_xlnm._FilterDatabase" localSheetId="4" hidden="1">'Client Data Order (1)'!$AA$1:$AA$1000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<sst xmlns="http://schemas.openxmlformats.org/spreadsheetml/2006/main" count="1828" uniqueCount="397">
  <si>
    <t>thumbnail</t>
  </si>
  <si>
    <t>SKU</t>
  </si>
  <si>
    <t>Display Name</t>
  </si>
  <si>
    <t>Style Name</t>
  </si>
  <si>
    <t>Brand</t>
  </si>
  <si>
    <t>People</t>
  </si>
  <si>
    <t>PDP Dimensions</t>
  </si>
  <si>
    <t>DWR PDP URL</t>
  </si>
  <si>
    <t>Hero Image URLs (comma separated)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</si>
  <si>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</si>
  <si>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</si>
  <si>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</si>
  <si>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</si>
  <si>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</si>
  <si>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</si>
  <si>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</si>
  <si>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</si>
  <si>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</si>
  <si>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Web Collection (from Style Code)</t>
  </si>
  <si>
    <t>DWR Primary Category Name</t>
  </si>
  <si>
    <t>Vendor SKU</t>
  </si>
  <si>
    <t>DWR Swatch Original Res</t>
  </si>
  <si>
    <t>HM Swatch Original Res</t>
  </si>
  <si>
    <t>HM Swatches</t>
  </si>
  <si>
    <t>department</t>
  </si>
  <si>
    <t>Launch Date</t>
  </si>
  <si>
    <t>111 Navy Chair - Side Chair, Bordeaux</t>
  </si>
  <si>
    <t>111 Navy Chair</t>
  </si>
  <si>
    <t>Emeco</t>
  </si>
  <si>
    <t>34" H 15½" W 19½" D</t>
  </si>
  <si>
    <t>https://www.dwr.com/100596557.html</t>
  </si>
  <si>
    <t>https://images.hermanmiller.group/m/c08be6ee672d709/W-DWR_3773_100596557_bordeaux_f.png?trim=auto&amp;trim-sd=1&amp;blend-mode=darken&amp;blend=f8f8f8&amp;bg=f8f8f8&amp;auto=format&amp;w=2400&amp;q=100&amp;h=2400,https://images.hermanmiller.group/m/5687626852d66cf/W-DWR_3773_100596557_bordeaux_a.png?trim=auto&amp;trim-sd=1&amp;blend-mode=darken&amp;blend=f8f8f8&amp;bg=f8f8f8&amp;auto=format&amp;w=2400&amp;q=100&amp;h=2400,https://images.hermanmiller.group/m/1ed3fc52ddf52fa9/W-DWR_3773_100596557_bordeaux_b.png?trim=auto&amp;trim-sd=1&amp;blend-mode=darken&amp;blend=f8f8f8&amp;bg=f8f8f8&amp;auto=format&amp;w=2400&amp;q=100&amp;h=2400</t>
  </si>
  <si>
    <t>Configuration</t>
  </si>
  <si>
    <t>Side Chair</t>
  </si>
  <si>
    <t>Color</t>
  </si>
  <si>
    <t>Bordeaux</t>
  </si>
  <si>
    <t>Navy Seating Collection</t>
  </si>
  <si>
    <t>Dining Chairs + Benches</t>
  </si>
  <si>
    <t>111 BORDEAUX</t>
  </si>
  <si>
    <t>https://images.hermanmiller.group/m/1b04cb5cd699f245/W-sw_knoll_iseo_bordeaux.png</t>
  </si>
  <si>
    <t>SEATING &amp; DINING</t>
  </si>
  <si>
    <t>111 Navy Chair - Side Chair, Cypress Green</t>
  </si>
  <si>
    <t>https://www.dwr.com/100596554.html</t>
  </si>
  <si>
    <t>https://images.hermanmiller.group/m/5541f3cb7f4a09b9/W-DWR_3773_100596554_cypress_green_f.png?trim=auto&amp;trim-sd=1&amp;blend-mode=darken&amp;blend=f8f8f8&amp;bg=f8f8f8&amp;auto=format&amp;w=2400&amp;q=100&amp;h=2400,https://images.hermanmiller.group/m/17aa88738929f830/W-DWR_3773_100596554_cypress_green_a.png?trim=auto&amp;trim-sd=1&amp;blend-mode=darken&amp;blend=f8f8f8&amp;bg=f8f8f8&amp;auto=format&amp;w=2400&amp;q=100&amp;h=2400</t>
  </si>
  <si>
    <t>Cypress Green</t>
  </si>
  <si>
    <t>111 CYPRESS GREEN</t>
  </si>
  <si>
    <t>https://images.hermanmiller.group/m/33662a910125ad55/W-COLOR_cypress_green.png</t>
  </si>
  <si>
    <t>Bronze Star - 7"</t>
  </si>
  <si>
    <t>Foldable Star Sculptures</t>
  </si>
  <si>
    <t>KOSTICKS</t>
  </si>
  <si>
    <t>John Kostick</t>
  </si>
  <si>
    <t>7" DIA</t>
  </si>
  <si>
    <t>https://www.dwr.com/655422.html</t>
  </si>
  <si>
    <t>https://images.hermanmiller.group/m/24f21fe118703fc3/W-DWR_3845_655422_bronze_f_v4.png?trim=auto&amp;trim-sd=1&amp;blend-mode=darken&amp;blend=f8f8f8&amp;bg=f8f8f8&amp;auto=format&amp;w=2400&amp;q=100&amp;h=2400</t>
  </si>
  <si>
    <t>Size</t>
  </si>
  <si>
    <t>7"</t>
  </si>
  <si>
    <t>Living Room Decor + Accessories</t>
  </si>
  <si>
    <t>4XB7.0</t>
  </si>
  <si>
    <t>ACCESSORIES</t>
  </si>
  <si>
    <t>Kink Vase - Large, Sand</t>
  </si>
  <si>
    <t>Kink Vase</t>
  </si>
  <si>
    <t>Muuto</t>
  </si>
  <si>
    <t>Earnest Studio</t>
  </si>
  <si>
    <t>15⅜" H 15¾" W 7½" DIA</t>
  </si>
  <si>
    <t>https://www.dwr.com/100658330.html</t>
  </si>
  <si>
    <t>https://images.hermanmiller.group/m/b0e0441bf31edaf9/W-MTO_kink_vase_39_sand_f-tif.png?trim=auto&amp;trim-sd=1&amp;blend-mode=darken&amp;blend=f8f8f8&amp;bg=f8f8f8&amp;auto=format&amp;w=2400&amp;q=100&amp;h=2400,https://images.hermanmiller.group/m/3a99261ca223af9f/W-MTO_kink_vase_39_sand_a-tif.png?trim=auto&amp;trim-sd=1&amp;blend-mode=darken&amp;blend=f8f8f8&amp;bg=f8f8f8&amp;auto=format&amp;w=2400&amp;q=100&amp;h=2400</t>
  </si>
  <si>
    <t>Large</t>
  </si>
  <si>
    <t>Sand</t>
  </si>
  <si>
    <t>Vases</t>
  </si>
  <si>
    <t>MKINVS15,SAND</t>
  </si>
  <si>
    <t>https://images.hermanmiller.group/m/173d3295839e5744/W-8439_COLOR_sand.png</t>
  </si>
  <si>
    <t>|color||sand| - m/173d3295839e5744/W-8439_COLOR_sand.png</t>
  </si>
  <si>
    <t>Kink Vase - Standard, Deep Red</t>
  </si>
  <si>
    <t>https://www.dwr.com/100658328.html</t>
  </si>
  <si>
    <t>https://images.hermanmiller.group/asset/e9ee858f-1ae1-4073-867a-8e02bf991e7e/W/MTO_Kink_vase_26_deep_red_muuto_hi_res-tif.png?trim=auto&amp;trim-sd=1&amp;blend-mode=darken&amp;blend=f8f8f8&amp;bg=f8f8f8&amp;auto=format&amp;w=2400&amp;q=100&amp;h=2400</t>
  </si>
  <si>
    <t>Standard</t>
  </si>
  <si>
    <t>Deep Red</t>
  </si>
  <si>
    <t>MKINVS,DPRD</t>
  </si>
  <si>
    <t>https://images.hermanmiller.group/m/296b847dd49fe7f1/W-sw_muuto_deep-red_color_swatch.png</t>
  </si>
  <si>
    <t>Kink Vase - Standard, Sand</t>
  </si>
  <si>
    <t>10⅜" H 10⅞" W 5" DIA</t>
  </si>
  <si>
    <t>https://www.dwr.com/100177257.html</t>
  </si>
  <si>
    <t>https://images.hermanmiller.group/m/dc80b56311cfb48a/W-MTO_2518291_100177257_sand_f.png?trim=auto&amp;trim-sd=1&amp;blend-mode=darken&amp;blend=f8f8f8&amp;bg=f8f8f8&amp;auto=format&amp;w=2400&amp;q=100&amp;h=2400,https://images.hermanmiller.group/m/9b55acb44cc3c7f7/W-MTO_2518291_100177257_sand_a.png?trim=auto&amp;trim-sd=1&amp;blend-mode=darken&amp;blend=f8f8f8&amp;bg=f8f8f8&amp;auto=format&amp;w=2400&amp;q=100&amp;h=2400</t>
  </si>
  <si>
    <t>MKINVS,SAND</t>
  </si>
  <si>
    <t>Mode Pillow - 12x22", Oblong, Lioness Rust</t>
  </si>
  <si>
    <t>Mode Pillow</t>
  </si>
  <si>
    <t>Design Within Reach</t>
  </si>
  <si>
    <t>12" H 22" W 5" D</t>
  </si>
  <si>
    <t>https://images.hermanmiller.group/m/0ecccd612804f38a/W-DWR_2555542_100538043_lioness_rust_f.png?trim=auto&amp;trim-sd=1&amp;blend-mode=darken&amp;blend=f8f8f8&amp;bg=f8f8f8&amp;auto=format&amp;w=2400&amp;q=100&amp;h=2400,https://images.hermanmiller.group/m/cbab7bd0dd5ac09f/W-DWR_2555542_100538043_lioness_rust_b.png?trim=auto&amp;trim-sd=1&amp;blend-mode=darken&amp;blend=f8f8f8&amp;bg=f8f8f8&amp;auto=format&amp;w=2400&amp;q=100&amp;h=2400</t>
  </si>
  <si>
    <t>Lioness Rust</t>
  </si>
  <si>
    <t>12x22"</t>
  </si>
  <si>
    <t>DWR Pillow Collection</t>
  </si>
  <si>
    <t>Pillows</t>
  </si>
  <si>
    <t>https://images.hermanmiller.group/m/56d878e3152de1ed/W-sw_mode_lioness_rust.png</t>
  </si>
  <si>
    <t>Mode Pillow - 12x22", Oblong, Saltwater Jetty</t>
  </si>
  <si>
    <t>https://images.hermanmiller.group/m/ee96bca4594e25e1/W-DWR_2555542_100538042_saltwater_eucalyptus_f.png?trim=auto&amp;trim-sd=1&amp;blend-mode=darken&amp;blend=f8f8f8&amp;bg=f8f8f8&amp;auto=format&amp;w=2400&amp;q=100&amp;h=2400,https://images.hermanmiller.group/m/a34aaf70bf2bd566/W-DWR_2555542_100538042_saltwater_eucalyptus_b.png?trim=auto&amp;trim-sd=1&amp;blend-mode=darken&amp;blend=f8f8f8&amp;bg=f8f8f8&amp;auto=format&amp;w=2400&amp;q=100&amp;h=2400</t>
  </si>
  <si>
    <t>Saltwater Jetty</t>
  </si>
  <si>
    <t>https://images.hermanmiller.group/m/5e978bf5e57db663/W-sw_mode_saltwater_jetty.png</t>
  </si>
  <si>
    <t>Mode Pillow - 18x18", Square, Saltwater Jetty</t>
  </si>
  <si>
    <t>https://images.hermanmiller.group/m/af48e49dda7b62a0/W-DWR_2555542_100538036_saltwater_eucalyptus_f.png?trim=auto&amp;trim-sd=1&amp;blend-mode=darken&amp;blend=f8f8f8&amp;bg=f8f8f8&amp;auto=format&amp;w=2400&amp;q=100&amp;h=2400,https://images.hermanmiller.group/m/d57874c0ab920d8e/W-DWR_2555542_100538036_saltwater_eucalyptus_b.png?trim=auto&amp;trim-sd=1&amp;blend-mode=darken&amp;blend=f8f8f8&amp;bg=f8f8f8&amp;auto=format&amp;w=2400&amp;q=100&amp;h=2400</t>
  </si>
  <si>
    <t>18x18"</t>
  </si>
  <si>
    <t>Mode Pillow - 20x20", Square, Lioness Rust</t>
  </si>
  <si>
    <t>20" H 20" W 5" D</t>
  </si>
  <si>
    <t>https://www.dwr.com/100538040.html</t>
  </si>
  <si>
    <t>https://images.hermanmiller.group/m/52b7d81d68bcea54/W-DWR_2555542_100538037_lioness_rust_f.png?trim=auto&amp;trim-sd=1&amp;blend-mode=darken&amp;blend=f8f8f8&amp;bg=f8f8f8&amp;auto=format&amp;w=2400&amp;q=100&amp;h=2400,https://images.hermanmiller.group/m/97a874afda34b955/W-DWR_2555542_100538037_lioness_rust_b.png?trim=auto&amp;trim-sd=1&amp;blend-mode=darken&amp;blend=f8f8f8&amp;bg=f8f8f8&amp;auto=format&amp;w=2400&amp;q=100&amp;h=2400</t>
  </si>
  <si>
    <t>20x20"</t>
  </si>
  <si>
    <t>Plush Extension Dining Table - Oak</t>
  </si>
  <si>
    <t>Plush Extension Dining Table</t>
  </si>
  <si>
    <t>dk3</t>
  </si>
  <si>
    <t>Jacob Plejdrup</t>
  </si>
  <si>
    <t>28⅜" H 94½" W 55⅛" DIA</t>
  </si>
  <si>
    <t>https://www.dwr.com/100642343.html</t>
  </si>
  <si>
    <t>https://images.hermanmiller.group/asset/b67ee476-2c8e-4aee-a6ca-0621b40c8326/W/DWR_2589120_100642343_oak_f.png?trim=auto&amp;trim-sd=1&amp;blend-mode=darken&amp;blend=f8f8f8&amp;bg=f8f8f8&amp;auto=format&amp;w=2400&amp;q=100&amp;h=2400,https://images.hermanmiller.group/asset/c73bc35e-4a9b-469e-9883-a9786d3f9aa6/W/DWR_2589120_100642343_oak_f.png?trim=auto&amp;trim-sd=1&amp;blend-mode=darken&amp;blend=f8f8f8&amp;bg=f8f8f8&amp;auto=format&amp;w=2400&amp;q=100&amp;h=2400,https://images.hermanmiller.group/asset/fe765ab8-6ee9-481d-b47a-f2c7455e9387/W/DWR_2589120_100642343_oak_a.png?trim=auto&amp;trim-sd=1&amp;blend-mode=darken&amp;blend=f8f8f8&amp;bg=f8f8f8&amp;auto=format&amp;w=2400&amp;q=100&amp;h=2400,https://images.hermanmiller.group/asset/89722cce-f5a5-4b15-8fc0-02800a342345/W/DWR_2589120_100642343_oak_d4.png?trim=auto&amp;trim-sd=1&amp;blend-mode=darken&amp;blend=f8f8f8&amp;bg=f8f8f8&amp;auto=format&amp;w=2400&amp;q=100&amp;h=2400,https://images.hermanmiller.group/asset/c7c3edc2-9cae-4a32-96e4-9cef1ab5c658/W/DWR_2589120_100642343_oak_d5.png?trim=auto&amp;trim-sd=1&amp;blend-mode=darken&amp;blend=f8f8f8&amp;bg=f8f8f8&amp;auto=format&amp;w=2400&amp;q=100&amp;h=2400,https://images.hermanmiller.group/asset/b07ff21b-2b4c-4c0f-82ba-ae1dc42e5571/W/DWR_2589120_100642343_oak_d3.png?trim=auto&amp;trim-sd=1&amp;blend-mode=darken&amp;blend=f8f8f8&amp;bg=f8f8f8&amp;auto=format&amp;w=2400&amp;q=100&amp;h=2400,https://images.hermanmiller.group/asset/e0273234-44d1-4e40-bdeb-ad9afcb05d0f/W/DWR_2589120_100642343_oak_d2.png?trim=auto&amp;trim-sd=1&amp;blend-mode=darken&amp;blend=f8f8f8&amp;bg=f8f8f8&amp;auto=format&amp;w=2400&amp;q=100&amp;h=2400,https://images.hermanmiller.group/asset/7d37cced-824a-44e3-a2aa-32d6a8dedb11/W/DWR_2589120_100642343_oak_d6.png?trim=auto&amp;trim-sd=1&amp;blend-mode=darken&amp;blend=f8f8f8&amp;bg=f8f8f8&amp;auto=format&amp;w=2400&amp;q=100&amp;h=2400</t>
  </si>
  <si>
    <t>Finish</t>
  </si>
  <si>
    <t>Oak</t>
  </si>
  <si>
    <t>Dining Tables</t>
  </si>
  <si>
    <t>https://images.hermanmiller.group/m/1ac2f579d3d7dce1/W-sw_generic_oak.png</t>
  </si>
  <si>
    <t>Plush Extension Dining Table - Walnut</t>
  </si>
  <si>
    <t>https://www.dwr.com/100642342.html</t>
  </si>
  <si>
    <t>https://images.hermanmiller.group/asset/8a96c80e-4caa-40de-bdf3-31dd9694aa1d/W/DWR_2589120_100642342_walnut_f.png?trim=auto&amp;trim-sd=1&amp;blend-mode=darken&amp;blend=f8f8f8&amp;bg=f8f8f8&amp;auto=format&amp;w=2400&amp;q=100&amp;h=2400,https://images.hermanmiller.group/asset/bf31519d-dec2-42b7-b495-9bc88af46a60/W/DWR_2589120_100642342_walnut_f.png?trim=auto&amp;trim-sd=1&amp;blend-mode=darken&amp;blend=f8f8f8&amp;bg=f8f8f8&amp;auto=format&amp;w=2400&amp;q=100&amp;h=2400,https://images.hermanmiller.group/asset/74f6894f-4efe-4de7-a2b1-8bc5df400ab4/W/DWR_2589120_100642342_walnut_a.png?trim=auto&amp;trim-sd=1&amp;blend-mode=darken&amp;blend=f8f8f8&amp;bg=f8f8f8&amp;auto=format&amp;w=2400&amp;q=100&amp;h=2400,https://images.hermanmiller.group/asset/d50fddbd-ebbe-4f94-97af-6e6de7a7f479/W/DWR_2589120_100642342_walnut_d4.png?trim=auto&amp;trim-sd=1&amp;blend-mode=darken&amp;blend=f8f8f8&amp;bg=f8f8f8&amp;auto=format&amp;w=2400&amp;q=100&amp;h=2400,https://images.hermanmiller.group/asset/2136b14e-6b8b-46ce-a532-577e723d3bb8/W/DWR_2589120_100642342_walnut_d5.png?trim=auto&amp;trim-sd=1&amp;blend-mode=darken&amp;blend=f8f8f8&amp;bg=f8f8f8&amp;auto=format&amp;w=2400&amp;q=100&amp;h=2400,https://images.hermanmiller.group/asset/8899d274-3f74-4f41-af93-a9ef5ddf3af3/W/DWR_2589120_100642342_walnut_d2.png?trim=auto&amp;trim-sd=1&amp;blend-mode=darken&amp;blend=f8f8f8&amp;bg=f8f8f8&amp;auto=format&amp;w=2400&amp;q=100&amp;h=2400,https://images.hermanmiller.group/asset/907ab5ea-c304-4e19-829d-6bdbc9ea7818/W/DWR_2589120_100642342_walnut_d3.png?trim=auto&amp;trim-sd=1&amp;blend-mode=darken&amp;blend=f8f8f8&amp;bg=f8f8f8&amp;auto=format&amp;w=2400&amp;q=100&amp;h=2400,https://images.hermanmiller.group/asset/a68e6e22-5da6-4525-9d62-3018e9e0553d/W/DWR_2589120_100642342_walnut_d.png?trim=auto&amp;trim-sd=1&amp;blend-mode=darken&amp;blend=f8f8f8&amp;bg=f8f8f8&amp;auto=format&amp;w=2400&amp;q=100&amp;h=2400</t>
  </si>
  <si>
    <t>Walnut</t>
  </si>
  <si>
    <t>https://images.hermanmiller.group/m/32515d299e7068bf/W-W-sw_generic_walnut.png</t>
  </si>
  <si>
    <t>Sheepskin Throw - Quad, Light Grey</t>
  </si>
  <si>
    <t>Sheepskin Throw</t>
  </si>
  <si>
    <t>Jørgen Rasmussen</t>
  </si>
  <si>
    <t>2" H 41" W 82" D</t>
  </si>
  <si>
    <t>https://www.dwr.com/100168671.html</t>
  </si>
  <si>
    <t>https://images.hermanmiller.group/m/acbce1982889e42f/W-DWR_2516240_100168671_light_grey_f.png?trim=auto&amp;trim-sd=1&amp;blend-mode=darken&amp;blend=f8f8f8&amp;bg=f8f8f8&amp;auto=format&amp;w=2400&amp;q=100&amp;h=2400</t>
  </si>
  <si>
    <t>Quadrat</t>
  </si>
  <si>
    <t>Light Grey</t>
  </si>
  <si>
    <t>Throw Blankets</t>
  </si>
  <si>
    <t>210x105cm quad sheepskin in light grey</t>
  </si>
  <si>
    <t>https://images.hermanmiller.group/m/52e3b6686cc746f5/W-sw_knoll_iseo_light-grey.png</t>
  </si>
  <si>
    <t>https://images.hermanmiller.group/m/1744a6757a8da458/W-sw_fritz_hansen_colored_ash_light_grey.png</t>
  </si>
  <si>
    <t>|color||light_grey| - m/1744a6757a8da458/W-sw_fritz_hansen_colored_ash_light_grey.png</t>
  </si>
  <si>
    <t>Uchiwa Ottoman - Divina 691/Remix 692 - Walnut Base</t>
  </si>
  <si>
    <t>Uchiwa Ottoman</t>
  </si>
  <si>
    <t>HAY</t>
  </si>
  <si>
    <t>Doshi Levien</t>
  </si>
  <si>
    <t>15¼" H 24" W 19¼" D</t>
  </si>
  <si>
    <t>https://www.dwr.com/100145046.html</t>
  </si>
  <si>
    <t>https://images.hermanmiller.group/m/72f3eac1bc0cd041/W-HAY_2515111_100145046_divina_691_remix_692_walnut_f.png?trim=auto&amp;trim-sd=1&amp;blend-mode=darken&amp;blend=f8f8f8&amp;bg=f8f8f8&amp;auto=format&amp;w=2400&amp;q=100&amp;h=2400,https://images.hermanmiller.group/m/e795ddb8c0b91fd9/W-HAY_2515111_100145046_divina_691_remix_692_walnut_a.png?trim=auto&amp;trim-sd=1&amp;blend-mode=darken&amp;blend=f8f8f8&amp;bg=f8f8f8&amp;auto=format&amp;w=2400&amp;q=100&amp;h=2400,https://images.hermanmiller.group/m/b92504418aa1b376/W-HAY_2515111_100145046_divina_691_remix_692_walnut_p.png?trim=auto&amp;trim-sd=1&amp;blend-mode=darken&amp;blend=f8f8f8&amp;bg=f8f8f8&amp;auto=format&amp;w=2400&amp;q=100&amp;h=2400</t>
  </si>
  <si>
    <t>Divina 691 Mauve / Remix 692 Plum</t>
  </si>
  <si>
    <t>Leg</t>
  </si>
  <si>
    <t>Uchiwa Collection</t>
  </si>
  <si>
    <t>Ottomans</t>
  </si>
  <si>
    <t>https://images.hermanmiller.group/m/7d6cd08f79cc3093/W-W-COLOR_divina_691_mauve_remix_692_plum.png https://images.hermanmiller.group/m/32515d299e7068bf/W-W-sw_generic_walnut.png</t>
  </si>
  <si>
    <t>|color||divina_691_mauve_remix_692_plum| - m/7d6cd08f79cc3093/W-W-COLOR_divina_691_mauve_remix_692_plum.png |leg||walnut| - m/32515d299e7068bf/W-W-sw_generic_walnut.png</t>
  </si>
  <si>
    <t>UPHOLSTERY</t>
  </si>
  <si>
    <t>Uchiwa Ottoman Mode Clavicle - Remix 242 Birch - Walnut</t>
  </si>
  <si>
    <t>https://www.dwr.com/100181152.html</t>
  </si>
  <si>
    <t>https://images.hermanmiller.group/m/4704d4d3bc253040/W-HAY_2515111_100181152_clavicle_birch_walnut_a.png?trim=auto&amp;trim-sd=1&amp;blend-mode=darken&amp;blend=f8f8f8&amp;bg=f8f8f8&amp;auto=format&amp;w=2400&amp;q=100&amp;h=2400</t>
  </si>
  <si>
    <t>Mode Clavicle / Remix 242 Birch</t>
  </si>
  <si>
    <t>https://images.hermanmiller.group/m/7081d14d60736670/W-SW_Mode_Clavicle_Remix_242_Birch.png https://images.hermanmiller.group/m/32515d299e7068bf/W-W-sw_generic_walnut.png</t>
  </si>
  <si>
    <t>|color||mode_clavicle_remix_242_birch| - m/7081d14d60736670/W-SW_Mode_Clavicle_Remix_242_Birch.png |leg||walnut| - m/32515d299e7068bf/W-W-sw_generic_walnut.png</t>
  </si>
  <si>
    <t>VP1 Flowerpot Pendant - Mustard</t>
  </si>
  <si>
    <t>VP1 Flowerpot Pendant</t>
  </si>
  <si>
    <t>&amp;Tradition</t>
  </si>
  <si>
    <t>Verner Panton</t>
  </si>
  <si>
    <t>6⅜" H 9⅛" W 9⅛" DIA</t>
  </si>
  <si>
    <t>https://www.dwr.com/100608414.html</t>
  </si>
  <si>
    <t>https://images.hermanmiller.group/asset/90ca8257-6cbb-414d-8c2c-e25c3f9aea84/W/DWR_2585681_100608414_mustard_f1.png?trim=auto&amp;trim-sd=1&amp;blend-mode=darken&amp;blend=f8f8f8&amp;bg=f8f8f8&amp;auto=format&amp;w=2400&amp;q=100&amp;h=2400,https://images.hermanmiller.group/asset/22461c54-e443-47b9-a102-701b49167fe2/W/DWR_2585681_100608414_mustard_f.png?trim=auto&amp;trim-sd=1&amp;blend-mode=darken&amp;blend=f8f8f8&amp;bg=f8f8f8&amp;auto=format&amp;w=2400&amp;q=100&amp;h=2400</t>
  </si>
  <si>
    <t>Mustard</t>
  </si>
  <si>
    <t>Flowerpot Collection</t>
  </si>
  <si>
    <t>Ceiling + Pendant Lamps</t>
  </si>
  <si>
    <t>AT-133082A215</t>
  </si>
  <si>
    <t>https://images.hermanmiller.group/asset/37fef664-13d2-46e3-8926-ac73ec802ce6/W/sw_ameico_mustard.png</t>
  </si>
  <si>
    <t>LIGHTING</t>
  </si>
  <si>
    <t>VP1 Flowerpot Pendant - Signal Green</t>
  </si>
  <si>
    <t>https://www.dwr.com/100608411.html</t>
  </si>
  <si>
    <t>https://images.hermanmiller.group/asset/b84baf40-5c68-427b-923f-25abca0f9116/W/DWR_2585681_100608411_signal_green_f1.png?trim=auto&amp;trim-sd=1&amp;blend-mode=darken&amp;blend=f8f8f8&amp;bg=f8f8f8&amp;auto=format&amp;w=2400&amp;q=100&amp;h=2400,https://images.hermanmiller.group/asset/27f3d383-69d3-46cf-8819-559473cbdadf/W/DWR_2585681_100608411_signal_green_f.png?trim=auto&amp;trim-sd=1&amp;blend-mode=darken&amp;blend=f8f8f8&amp;bg=f8f8f8&amp;auto=format&amp;w=2400&amp;q=100&amp;h=2400</t>
  </si>
  <si>
    <t>Signal Green</t>
  </si>
  <si>
    <t>AT-133082A205</t>
  </si>
  <si>
    <t>https://images.hermanmiller.group/asset/aeb46efd-ce33-4ebd-a966-45f79d8d0abc/W/sw_ameico_signal_green.png</t>
  </si>
  <si>
    <t>VP1 Flowerpot Pendant - Stone Blue</t>
  </si>
  <si>
    <t>https://www.dwr.com/100608415.html</t>
  </si>
  <si>
    <t>https://images.hermanmiller.group/asset/2d1f0cb7-20df-444f-a7e3-13c148242151/W/DWR_2585681_100608415_stone_blue_f.png?trim=auto&amp;trim-sd=1&amp;blend-mode=darken&amp;blend=f8f8f8&amp;bg=f8f8f8&amp;auto=format&amp;w=2400&amp;q=100&amp;h=2400</t>
  </si>
  <si>
    <t>Stone Blue</t>
  </si>
  <si>
    <t>AT-133082A208</t>
  </si>
  <si>
    <t>https://images.hermanmiller.group/asset/e6d8c3e5-db74-4f99-bd0a-32fd1ce2b3ef/W/sw_ameico_stone_blue.png</t>
  </si>
  <si>
    <t>VP1 Flowerpot Pendant - Swim Blue</t>
  </si>
  <si>
    <t>https://www.dwr.com/100608512.html</t>
  </si>
  <si>
    <t>https://images.hermanmiller.group/asset/86c7ab08-d48f-49f4-85b8-10d9bcc4ef2a/W/DWR_2585681_100608512_swim_blue_f1.png?trim=auto&amp;trim-sd=1&amp;blend-mode=darken&amp;blend=f8f8f8&amp;bg=f8f8f8&amp;auto=format&amp;w=2400&amp;q=100&amp;h=2400,https://images.hermanmiller.group/asset/f35a3ef5-c186-492f-b86d-1aee79f7a931/W/DWR_2585681_100608512_swim_blue_f.png?trim=auto&amp;trim-sd=1&amp;blend-mode=darken&amp;blend=f8f8f8&amp;bg=f8f8f8&amp;auto=format&amp;w=2400&amp;q=100&amp;h=2400</t>
  </si>
  <si>
    <t>Swim Blue</t>
  </si>
  <si>
    <t>AT-133082A179</t>
  </si>
  <si>
    <t>https://images.hermanmiller.group/asset/b8b193a3-edb1-429a-a403-dd7ea707d353/W/sw_ameico_swim_blue.png</t>
  </si>
  <si>
    <t>Sculptura Occasional Chair, Black</t>
  </si>
  <si>
    <t>Sculptura Chair</t>
  </si>
  <si>
    <t>Woodard Furniture Company</t>
  </si>
  <si>
    <t>Russell Woodard</t>
  </si>
  <si>
    <t>33" H 29¾" W 27¾" D</t>
  </si>
  <si>
    <t>https://www.dwr.com/100072864.html</t>
  </si>
  <si>
    <t>https://images.hermanmiller.group/m/e8daf7224dcc744c/W-DWR_2195841_100072864_black_f.png?trim=auto&amp;trim-sd=1&amp;blend-mode=darken&amp;blend=f8f8f8&amp;bg=f8f8f8&amp;auto=format&amp;w=2400&amp;q=100&amp;h=2400,https://images.hermanmiller.group/m/5eba0caf9552ca7b/W-DWR_2195841_100072866_red_orange_a.png?trim=auto&amp;trim-sd=1&amp;blend-mode=darken&amp;blend=f8f8f8&amp;bg=f8f8f8&amp;auto=format&amp;w=2400&amp;q=100&amp;h=2400,https://images.hermanmiller.group/m/cd749113b7b28087/W-DWR_2195841_100072864_black_a.png?trim=auto&amp;trim-sd=1&amp;blend-mode=darken&amp;blend=f8f8f8&amp;bg=f8f8f8&amp;auto=format&amp;w=2400&amp;q=100&amp;h=2400,https://images.hermanmiller.group/m/a8d0f219e4aee34b/W-DWR_2195841_100072864_black_p.png?trim=auto&amp;trim-sd=1&amp;blend-mode=darken&amp;blend=f8f8f8&amp;bg=f8f8f8&amp;auto=format&amp;w=2400&amp;q=100&amp;h=2400,https://images.hermanmiller.group/m/b27a6e3fe3d2e42c/W-DWR_2195841_100072864_black_b.png?trim=auto&amp;trim-sd=1&amp;blend-mode=darken&amp;blend=f8f8f8&amp;bg=f8f8f8&amp;auto=format&amp;w=2400&amp;q=100&amp;h=2400</t>
  </si>
  <si>
    <t>Black</t>
  </si>
  <si>
    <t>Sculptura Collection</t>
  </si>
  <si>
    <t>Outdoor Dining Chairs + Benches</t>
  </si>
  <si>
    <t>4G0010.21</t>
  </si>
  <si>
    <t>https://images.hermanmiller.group/m/64d64d767043b383/W-sw_woodard_black_metal-tif.png</t>
  </si>
  <si>
    <t>|color||black| - m/64d64d767043b383/W-sw_woodard_black_metal-tif.png</t>
  </si>
  <si>
    <t>OUTDOOR</t>
  </si>
  <si>
    <t>Sculptura Occasional Chair Cushion, White</t>
  </si>
  <si>
    <t>Sculptura Chair Cushion</t>
  </si>
  <si>
    <t>2" H 24" W 18" D</t>
  </si>
  <si>
    <t>https://www.dwr.com/100072872.html</t>
  </si>
  <si>
    <t>https://images.hermanmiller.group/m/58464bca885139c3/W-DWR_2195845_100072872_white_f1.png?trim=auto&amp;trim-sd=1&amp;blend-mode=darken&amp;blend=f8f8f8&amp;bg=f8f8f8&amp;auto=format&amp;w=2400&amp;q=100&amp;h=2400,https://images.hermanmiller.group/m/cee549818547c05c/W-DWR_2195845_100072872_white_f.png?trim=auto&amp;trim-sd=1&amp;blend-mode=darken&amp;blend=f8f8f8&amp;bg=f8f8f8&amp;auto=format&amp;w=2400&amp;q=100&amp;h=2400</t>
  </si>
  <si>
    <t>White</t>
  </si>
  <si>
    <t>Outdoor Pillows + Cushions</t>
  </si>
  <si>
    <t>4GW010.UA9</t>
  </si>
  <si>
    <t>https://images.hermanmiller.group/m/997eb4a8dbd541c0/W-sw_woodard_white_cushion-tif.png</t>
  </si>
  <si>
    <t>|color||white| - m/997eb4a8dbd541c0/W-sw_woodard_white_cushion-tif.png</t>
  </si>
  <si>
    <t>Cube Armchair - Beck, Retrospect, Oak</t>
  </si>
  <si>
    <t>Cube Armchair</t>
  </si>
  <si>
    <t>Herman Miller</t>
  </si>
  <si>
    <t>George Nelson</t>
  </si>
  <si>
    <t>27" H 33½" W 31½" D</t>
  </si>
  <si>
    <t>https://www.dwr.com/100559774.html</t>
  </si>
  <si>
    <t>https://images.hermanmiller.group/m/42e89e0d414ecdff/W-HM_2544155_100559774_retrospect_oak_f-tif.png?trim=auto&amp;trim-sd=1&amp;blend-mode=darken&amp;blend=f8f8f8&amp;bg=f8f8f8&amp;auto=format&amp;w=2400&amp;q=100&amp;h=2400</t>
  </si>
  <si>
    <t>Upholstery</t>
  </si>
  <si>
    <t>Beck</t>
  </si>
  <si>
    <t>Retrospect</t>
  </si>
  <si>
    <t>Cube Collection</t>
  </si>
  <si>
    <t>Lounge Chairs + Armchairs</t>
  </si>
  <si>
    <t>NCU1WHNZB333</t>
  </si>
  <si>
    <t>https://images.hermanmiller.group/m/4f8628d083dd81a3/W-sw_maharam_beck_033_retrospect.png https://images.hermanmiller.group/m/68d3871517d8eb26/W-sw_HM_white_oak.png</t>
  </si>
  <si>
    <t>https://images.hermanmiller.group/m/68d3871517d8eb26/W-sw_HM_white_oak.png https://images.hermanmiller.group/m/4f8628d083dd81a3/W-sw_maharam_beck_033_retrospect.png</t>
  </si>
  <si>
    <t>|upholstery||beck||color||retrospect| - m/4f8628d083dd81a3/W-sw_maharam_beck_033_retrospect.png |color||retrospect| - m/4f8628d083dd81a3/W-sw_maharam_beck_033_retrospect.png |leg||oak| - m/68d3871517d8eb26/W-sw_HM_white_oak.png</t>
  </si>
  <si>
    <t>Cube Armchair - Beck, Retrospect, Walnut</t>
  </si>
  <si>
    <t>https://www.dwr.com/100559775.html</t>
  </si>
  <si>
    <t>https://images.hermanmiller.group/m/7ed6c0783088d4bc/W-HM_2544155_100559775_retrospect_walnut_f-tif.png?trim=auto&amp;trim-sd=1&amp;blend-mode=darken&amp;blend=f8f8f8&amp;bg=f8f8f8&amp;auto=format&amp;w=2400&amp;q=100&amp;h=2400</t>
  </si>
  <si>
    <t>NCU1OUZB333</t>
  </si>
  <si>
    <t>https://images.hermanmiller.group/m/4f8628d083dd81a3/W-sw_maharam_beck_033_retrospect.png https://images.hermanmiller.group/m/35da0f08ea0e6d42/W-sw_HM_wood_walnut_veneer_OU.png</t>
  </si>
  <si>
    <t>https://images.hermanmiller.group/m/35da0f08ea0e6d42/W-sw_HM_wood_walnut_veneer_OU.png https://images.hermanmiller.group/m/4f8628d083dd81a3/W-sw_maharam_beck_033_retrospect.png</t>
  </si>
  <si>
    <t>|upholstery||beck||color||retrospect| - m/4f8628d083dd81a3/W-sw_maharam_beck_033_retrospect.png |color||retrospect| - m/4f8628d083dd81a3/W-sw_maharam_beck_033_retrospect.png |leg||walnut| - m/35da0f08ea0e6d42/W-sw_HM_wood_walnut_veneer_OU.png</t>
  </si>
  <si>
    <t>Cube Armchair - Epingle Stripe, Caramel, Oak</t>
  </si>
  <si>
    <t>https://www.dwr.com/100673417.html</t>
  </si>
  <si>
    <t>https://images.hermanmiller.group/asset/4c097738-dd7c-4440-b5ff-b600335e169b/W/DWR_2544155_100673417_epingle_stripe_caramel_oak_f.png?trim=auto&amp;trim-sd=1&amp;blend-mode=darken&amp;blend=f8f8f8&amp;bg=f8f8f8&amp;auto=format&amp;w=2400&amp;q=100&amp;h=2400,https://images.hermanmiller.group/asset/2683c102-f481-4edf-aa80-8f58710487f1/W/DWR_2544155_100673417_epingle_stripe_caramel_oak_a.png?trim=auto&amp;trim-sd=1&amp;blend-mode=darken&amp;blend=f8f8f8&amp;bg=f8f8f8&amp;auto=format&amp;w=2400&amp;q=100&amp;h=2400,https://images.hermanmiller.group/asset/268b65d8-f457-4d0f-8825-122477d0c6d3/W/DWR_2544155_100673417_epingle_stripe_caramel_oak_p.png?trim=auto&amp;trim-sd=1&amp;blend-mode=darken&amp;blend=f8f8f8&amp;bg=f8f8f8&amp;auto=format&amp;w=2400&amp;q=100&amp;h=2400,https://images.hermanmiller.group/asset/13667d67-0b5f-41fe-be4c-05912592a821/W/DWR_2544155_100673417_epingle_stripe_caramel_oak_b.png?trim=auto&amp;trim-sd=1&amp;blend-mode=darken&amp;blend=f8f8f8&amp;bg=f8f8f8&amp;auto=format&amp;w=2400&amp;q=100&amp;h=2400,https://images.hermanmiller.group/asset/21bd65b2-54a2-4b9c-9240-4450cb9d785e/W/DWR_2544155_100673417_epingle_stripe_caramel_oak_d.png?trim=auto&amp;trim-sd=1&amp;blend-mode=darken&amp;blend=f8f8f8&amp;bg=f8f8f8&amp;auto=format&amp;w=2400&amp;q=100&amp;h=2400</t>
  </si>
  <si>
    <t>Epingle Stripe</t>
  </si>
  <si>
    <t>Caramel</t>
  </si>
  <si>
    <t>https://images.hermanmiller.group/m/68d3871517d8eb26/W-sw_HM_white_oak.png https://images.hermanmiller.group/asset/cd476fd3-09f0-442f-b77a-06e7adcb504b/W/sw_maharam_epingle_stripe_caramel.png</t>
  </si>
  <si>
    <t>https://images.hermanmiller.group/m/68d3871517d8eb26/W-sw_HM_white_oak.png</t>
  </si>
  <si>
    <t>|leg||oak| - m/68d3871517d8eb26/W-sw_HM_white_oak.png</t>
  </si>
  <si>
    <t>Cube Armchair - Epingle Stripe, Caramel, Walnut</t>
  </si>
  <si>
    <t>https://www.dwr.com/100661719.html</t>
  </si>
  <si>
    <t>https://images.hermanmiller.group/asset/c429b71a-e7a2-4001-ad58-b896adb95e2d/W/DWR_2544155_100661719_epingle_stripe_caramel_walnut_f.png?trim=auto&amp;trim-sd=1&amp;blend-mode=darken&amp;blend=f8f8f8&amp;bg=f8f8f8&amp;auto=format&amp;w=2400&amp;q=100&amp;h=2400,https://images.hermanmiller.group/asset/9ca69728-dfaa-4704-9f57-bd0fb1427fc8/W/DWR_2544155_100661719_epingle_stripe_caramel_walnut_a.png?trim=auto&amp;trim-sd=1&amp;blend-mode=darken&amp;blend=f8f8f8&amp;bg=f8f8f8&amp;auto=format&amp;w=2400&amp;q=100&amp;h=2400,https://images.hermanmiller.group/asset/db06cfdf-816a-4b6c-b9f4-43bb943c06b7/W/DWR_2544155_100661719_epingle_stripe_caramel_walnut_p.png?trim=auto&amp;trim-sd=1&amp;blend-mode=darken&amp;blend=f8f8f8&amp;bg=f8f8f8&amp;auto=format&amp;w=2400&amp;q=100&amp;h=2400,https://images.hermanmiller.group/asset/97771622-384b-4a70-bee8-14fbceb74c3a/W/DWR_2544155_100661719_epingle_stripe_caramel_walnut_b.png?trim=auto&amp;trim-sd=1&amp;blend-mode=darken&amp;blend=f8f8f8&amp;bg=f8f8f8&amp;auto=format&amp;w=2400&amp;q=100&amp;h=2400,https://images.hermanmiller.group/asset/e9781e30-851a-4532-802c-70eea0ace39b/W/DWR_2544155_100661719_epingle_stripe_caramel_walnut_d.png?trim=auto&amp;trim-sd=1&amp;blend-mode=darken&amp;blend=f8f8f8&amp;bg=f8f8f8&amp;auto=format&amp;w=2400&amp;q=100&amp;h=2400</t>
  </si>
  <si>
    <t>https://images.hermanmiller.group/m/35da0f08ea0e6d42/W-sw_HM_wood_walnut_veneer_OU.png https://images.hermanmiller.group/asset/cd476fd3-09f0-442f-b77a-06e7adcb504b/W/sw_maharam_epingle_stripe_caramel.png</t>
  </si>
  <si>
    <t>https://images.hermanmiller.group/m/35da0f08ea0e6d42/W-sw_HM_wood_walnut_veneer_OU.png</t>
  </si>
  <si>
    <t>|leg||walnut| - m/35da0f08ea0e6d42/W-sw_HM_wood_walnut_veneer_OU.png</t>
  </si>
  <si>
    <t>Cube Sofa - 80", Beck, Retrospect, Oak</t>
  </si>
  <si>
    <t>Cube Sofa</t>
  </si>
  <si>
    <t>27" H 81½" W 31½" D</t>
  </si>
  <si>
    <t>https://www.dwr.com/100559923.html</t>
  </si>
  <si>
    <t>https://images.hermanmiller.group/m/637128ab0a7830a5/W-HM_2544056_100559923_retrospect_oak_f-tif.png?trim=auto&amp;trim-sd=1&amp;blend-mode=darken&amp;blend=f8f8f8&amp;bg=f8f8f8&amp;auto=format&amp;w=2400&amp;q=100&amp;h=2400</t>
  </si>
  <si>
    <t>80"</t>
  </si>
  <si>
    <t>Sofas + Sectionals</t>
  </si>
  <si>
    <t>NCU2WHNZB333</t>
  </si>
  <si>
    <t>Cube Sofa - 80", Beck, Retrospect, Walnut</t>
  </si>
  <si>
    <t>https://www.dwr.com/100559924.html</t>
  </si>
  <si>
    <t>https://images.hermanmiller.group/m/890d3fd15b25dc8c/W-HM_2544056_100559924_retrospect_walnut_f-tif.png?trim=auto&amp;trim-sd=1&amp;blend-mode=darken&amp;blend=f8f8f8&amp;bg=f8f8f8&amp;auto=format&amp;w=2400&amp;q=100&amp;h=2400</t>
  </si>
  <si>
    <t>NCU2OUZB333</t>
  </si>
  <si>
    <t>Cube Sofa - 80", Toostripe, Ochre Dark / Sienna, Oak</t>
  </si>
  <si>
    <t>https://www.dwr.com/100578875.html</t>
  </si>
  <si>
    <t>https://images.hermanmiller.group/m/100476b60c8656fd/W-HM_2544056_100578875_ochre_sienna_oak_80_f.png?trim=auto&amp;trim-sd=1&amp;blend-mode=darken&amp;blend=f8f8f8&amp;bg=f8f8f8&amp;auto=format&amp;w=2400&amp;q=100&amp;h=2400,https://images.hermanmiller.group/m/5444409608714c56/W-HM_2544056_100578875_ochre_sienna_oak_80_a.png?trim=auto&amp;trim-sd=1&amp;blend-mode=darken&amp;blend=f8f8f8&amp;bg=f8f8f8&amp;auto=format&amp;w=2400&amp;q=100&amp;h=2400,https://images.hermanmiller.group/m/0b10a322cf026f25/W-HM_2544056_100578875_ochre_sienna_oak_80_p.png?trim=auto&amp;trim-sd=1&amp;blend-mode=darken&amp;blend=f8f8f8&amp;bg=f8f8f8&amp;auto=format&amp;w=2400&amp;q=100&amp;h=2400,https://images.hermanmiller.group/m/5798afbed744315a/W-HM_2544056_100578875_ochre_sienna_oak_80_b.png?trim=auto&amp;trim-sd=1&amp;blend-mode=darken&amp;blend=f8f8f8&amp;bg=f8f8f8&amp;auto=format&amp;w=2400&amp;q=100&amp;h=2400,https://images.hermanmiller.group/m/26e43b0c5bb14440/W-HM_2544056_100578875_ochre_sienna_oak_80_d1.png?trim=auto&amp;trim-sd=1&amp;blend-mode=darken&amp;blend=f8f8f8&amp;bg=f8f8f8&amp;auto=format&amp;w=2400&amp;q=100&amp;h=2400</t>
  </si>
  <si>
    <t>Toostripe</t>
  </si>
  <si>
    <t>Ochre Dark / Sienna</t>
  </si>
  <si>
    <t>NCU2WHNV2203</t>
  </si>
  <si>
    <t>https://images.hermanmiller.group/m/7cbaef9067ae7d09/W-toostripe-ochre-dark-sienna.png https://images.hermanmiller.group/m/68d3871517d8eb26/W-sw_HM_white_oak.png</t>
  </si>
  <si>
    <t>|upholstery||toostripe||color||ochre_dark_sienna| - m/7cbaef9067ae7d09/W-toostripe-ochre-dark-sienna.png |color||ochre_dark_sienna| - m/7cbaef9067ae7d09/W-toostripe-ochre-dark-sienna.png |leg||oak| - m/68d3871517d8eb26/W-sw_HM_white_oak.png</t>
  </si>
  <si>
    <t>Cube Sofa - 80", Toostripe, Ochre Dark / Sienna, Walnut</t>
  </si>
  <si>
    <t>https://www.dwr.com/100578777.html</t>
  </si>
  <si>
    <t>https://images.hermanmiller.group/m/f00496b2a80e9e45/W-HM_2544056_100578777_ochre_sienna_walnut_80_f.png?trim=auto&amp;trim-sd=1&amp;blend-mode=darken&amp;blend=f8f8f8&amp;bg=f8f8f8&amp;auto=format&amp;w=2400&amp;q=100&amp;h=2400</t>
  </si>
  <si>
    <t>NCU2OUV2203</t>
  </si>
  <si>
    <t>https://images.hermanmiller.group/m/7cbaef9067ae7d09/W-toostripe-ochre-dark-sienna.png https://images.hermanmiller.group/m/35da0f08ea0e6d42/W-sw_HM_wood_walnut_veneer_OU.png</t>
  </si>
  <si>
    <t>|upholstery||toostripe||color||ochre_dark_sienna| - m/7cbaef9067ae7d09/W-toostripe-ochre-dark-sienna.png |color||ochre_dark_sienna| - m/7cbaef9067ae7d09/W-toostripe-ochre-dark-sienna.png |leg||walnut| - m/35da0f08ea0e6d42/W-sw_HM_wood_walnut_veneer_OU.png</t>
  </si>
  <si>
    <t>Blis Ottoman - Black, Oxbow, Trope</t>
  </si>
  <si>
    <t>Blis Ottoman</t>
  </si>
  <si>
    <t>Beaverhausen</t>
  </si>
  <si>
    <t>16⅝" H 22½" W 22½" D</t>
  </si>
  <si>
    <t>https://www.dwr.com/100656809.html</t>
  </si>
  <si>
    <t>https://images.hermanmiller.group/asset/deacaab0-b80f-44b7-be8e-28df0f625c81/W/DWR_2589635_100656809_trope_black_f.png?trim=auto&amp;trim-sd=1&amp;blend-mode=darken&amp;blend=f8f8f8&amp;bg=f8f8f8&amp;auto=format&amp;w=2400&amp;q=100&amp;h=2400,https://images.hermanmiller.group/asset/f4f84662-2078-4312-bbe8-e916e9f69214/W/DWR_2589635_100656809_trope_black_a.png?trim=auto&amp;trim-sd=1&amp;blend-mode=darken&amp;blend=f8f8f8&amp;bg=f8f8f8&amp;auto=format&amp;w=2400&amp;q=100&amp;h=2400</t>
  </si>
  <si>
    <t>Frame Finish</t>
  </si>
  <si>
    <t>Oxbow</t>
  </si>
  <si>
    <t>Trope</t>
  </si>
  <si>
    <t>Blis Collection</t>
  </si>
  <si>
    <t>The Living Room Sale: Save 20%</t>
  </si>
  <si>
    <t>10001900900400\000083</t>
  </si>
  <si>
    <t>Blis Swivel Chair  - Black, Oxbow, Trope</t>
  </si>
  <si>
    <t>Blis Swivel Chair</t>
  </si>
  <si>
    <t>34¼" H 30¾" W 30" D</t>
  </si>
  <si>
    <t>https://www.dwr.com/100656795.html</t>
  </si>
  <si>
    <t>https://images.hermanmiller.group/asset/1dbecaca-d9a2-4094-bc49-7142a459f164/W/DWR_2589634_100656795_trope_black_a.png?trim=auto&amp;trim-sd=1&amp;blend-mode=darken&amp;blend=f8f8f8&amp;bg=f8f8f8&amp;auto=format&amp;w=2400&amp;q=100&amp;h=2400,https://images.hermanmiller.group/asset/87463b5a-f1fe-400d-9f4a-b51cddfb3464/W/DWR_2589634_100656795_trope_black_f.png?trim=auto&amp;trim-sd=1&amp;blend-mode=darken&amp;blend=f8f8f8&amp;bg=f8f8f8&amp;auto=format&amp;w=2400&amp;q=100&amp;h=2400</t>
  </si>
  <si>
    <t>10001900900300\000083</t>
  </si>
  <si>
    <t>Blis Swivel Chair and Ottoman - Black, Oxbow, Trope</t>
  </si>
  <si>
    <t>Blis Swivel Chair and Ottoman</t>
  </si>
  <si>
    <t>Chair:34¼" H 30¾" W 30" D Chair:16⅝" H Chair:22½" W Chair:22½" D</t>
  </si>
  <si>
    <t>https://www.dwr.com/100657244.html</t>
  </si>
  <si>
    <t>https://images.hermanmiller.group/asset/fe9c66aa-b072-4275-aaec-8fdeba8babaa/W/DWR_2589636_100657244_trope_black_a.png?trim=auto&amp;trim-sd=1&amp;blend-mode=darken&amp;blend=f8f8f8&amp;bg=f8f8f8&amp;auto=format&amp;w=2400&amp;q=100&amp;h=2400</t>
  </si>
  <si>
    <t>Mesh Key</t>
  </si>
  <si>
    <t>Mesh ID</t>
  </si>
  <si>
    <t>Material Combo</t>
  </si>
  <si>
    <t>111 Navy Chair | 34" H 15½" W 19½" D</t>
  </si>
  <si>
    <t>M001</t>
  </si>
  <si>
    <t>Configuration: Side Chair | Color: Bordeaux</t>
  </si>
  <si>
    <t>Configuration: Side Chair | Color: Cypress Green</t>
  </si>
  <si>
    <t>Foldable Star Sculptures | 7" DIA</t>
  </si>
  <si>
    <t>M002</t>
  </si>
  <si>
    <t>Size: 7"</t>
  </si>
  <si>
    <t>Kink Vase | 15⅜" H 15¾" W 7½" DIA</t>
  </si>
  <si>
    <t>M003</t>
  </si>
  <si>
    <t>Size: Large | Color: Sand</t>
  </si>
  <si>
    <t>Size: Standard | Color: Deep Red</t>
  </si>
  <si>
    <t>Kink Vase | 10⅜" H 10⅞" W 5" DIA</t>
  </si>
  <si>
    <t>M004</t>
  </si>
  <si>
    <t>Size: Standard | Color: Sand</t>
  </si>
  <si>
    <t>Mode Pillow | 12" H 22" W 5" D</t>
  </si>
  <si>
    <t>M005</t>
  </si>
  <si>
    <t>Color: Lioness Rust | Size: 12x22"</t>
  </si>
  <si>
    <t>Mode Pillow | nan</t>
  </si>
  <si>
    <t>M006</t>
  </si>
  <si>
    <t>Color: Saltwater Jetty | Size: 12x22"</t>
  </si>
  <si>
    <t>Color: Saltwater Jetty | Size: 18x18"</t>
  </si>
  <si>
    <t>Mode Pillow | 20" H 20" W 5" D</t>
  </si>
  <si>
    <t>M007</t>
  </si>
  <si>
    <t>Color: Lioness Rust | Size: 20x20"</t>
  </si>
  <si>
    <t>Plush Extension Dining Table | 28⅜" H 94½" W 55⅛" DIA</t>
  </si>
  <si>
    <t>M008</t>
  </si>
  <si>
    <t>Finish: Oak</t>
  </si>
  <si>
    <t>Finish: Walnut</t>
  </si>
  <si>
    <t>Sheepskin Throw | 2" H 41" W 82" D</t>
  </si>
  <si>
    <t>M009</t>
  </si>
  <si>
    <t>Size: Quadrat | Color: Light Grey</t>
  </si>
  <si>
    <t>Uchiwa Ottoman | 15¼" H 24" W 19¼" D</t>
  </si>
  <si>
    <t>M010</t>
  </si>
  <si>
    <t>Color: Divina 691 Mauve / Remix 692 Plum | Leg: Walnut</t>
  </si>
  <si>
    <t>Color: Mode Clavicle / Remix 242 Birch | Leg: Walnut</t>
  </si>
  <si>
    <t>VP1 Flowerpot Pendant | 6⅜" H 9⅛" W 9⅛" DIA</t>
  </si>
  <si>
    <t>M011</t>
  </si>
  <si>
    <t>Color: Mustard</t>
  </si>
  <si>
    <t>Color: Signal Green</t>
  </si>
  <si>
    <t>Color: Stone Blue</t>
  </si>
  <si>
    <t>Color: Swim Blue</t>
  </si>
  <si>
    <t>Sculptura Chair | 33" H 29¾" W 27¾" D</t>
  </si>
  <si>
    <t>M012</t>
  </si>
  <si>
    <t>Color: Black</t>
  </si>
  <si>
    <t>Sculptura Chair Cushion | 2" H 24" W 18" D</t>
  </si>
  <si>
    <t>M013</t>
  </si>
  <si>
    <t>Color: White</t>
  </si>
  <si>
    <t>Cube Armchair | 27" H 33½" W 31½" D</t>
  </si>
  <si>
    <t>M014</t>
  </si>
  <si>
    <t>Upholstery: Beck | Color: Retrospect | Leg: Oak</t>
  </si>
  <si>
    <t>Upholstery: Beck | Color: Retrospect | Leg: Walnut</t>
  </si>
  <si>
    <t>Upholstery: Epingle Stripe | Color: Caramel | Leg: Oak</t>
  </si>
  <si>
    <t>Upholstery: Epingle Stripe | Color: Caramel | Leg: Walnut</t>
  </si>
  <si>
    <t>Cube Sofa | 27" H 81½" W 31½" D</t>
  </si>
  <si>
    <t>M015</t>
  </si>
  <si>
    <t>Size: 80" | Upholstery: Beck | Color: Retrospect | Leg: Oak</t>
  </si>
  <si>
    <t>Size: 80" | Upholstery: Beck | Color: Retrospect | Leg: Walnut</t>
  </si>
  <si>
    <t>Size: 80" | Upholstery: Toostripe | Color: Ochre Dark / Sienna | Leg: Oak</t>
  </si>
  <si>
    <t>Size: 80" | Upholstery: Toostripe | Color: Ochre Dark / Sienna | Leg: Walnut</t>
  </si>
  <si>
    <t>Blis Ottoman | 16⅝" H 22½" W 22½" D</t>
  </si>
  <si>
    <t>M016</t>
  </si>
  <si>
    <t>Frame Finish: Black | Upholstery: Oxbow | Color: Trope</t>
  </si>
  <si>
    <t>Blis Swivel Chair | 34¼" H 30¾" W 30" D</t>
  </si>
  <si>
    <t>M017</t>
  </si>
  <si>
    <t>Blis Swivel Chair and Ottoman | Chair:34¼" H 30¾" W 30" D Chair:16⅝" H Chair:22½" W Chair:22½" D</t>
  </si>
  <si>
    <t>M018</t>
  </si>
  <si>
    <t>Metric</t>
  </si>
  <si>
    <t>Value</t>
  </si>
  <si>
    <t>Total SKUs in client order</t>
  </si>
  <si>
    <t>Total unique meshes (Style Name + Dimensions)</t>
  </si>
  <si>
    <t>Total unique style names</t>
  </si>
  <si>
    <t>Total unique material variants (across upholstery/finish/color/etc.)</t>
  </si>
  <si>
    <t>SKUs</t>
  </si>
  <si>
    <t>Display_Names</t>
  </si>
  <si>
    <t>Categories</t>
  </si>
  <si>
    <t>Departments</t>
  </si>
  <si>
    <t>Notes</t>
  </si>
  <si>
    <t>111 Navy Chair - Side Chair, Bordeaux; 111 Navy Chair - Side Chair, Cypress Green</t>
  </si>
  <si>
    <t>Shared mesh used by multiple SKUs</t>
  </si>
  <si>
    <t>Unique mesh used by a single SKU</t>
  </si>
  <si>
    <t>Kink Vase - Large, Sand; Kink Vase - Standard, Deep Red</t>
  </si>
  <si>
    <t>Mode Pillow - 12x22", Oblong, Saltwater Jetty; Mode Pillow - 18x18", Square, Saltwater Jetty</t>
  </si>
  <si>
    <t>Plush Extension Dining Table - Oak; Plush Extension Dining Table - Walnut</t>
  </si>
  <si>
    <t>Uchiwa Ottoman - Divina 691/Remix 692 - Walnut Base; Uchiwa Ottoman Mode Clavicle - Remix 242 Birch - Walnut</t>
  </si>
  <si>
    <t>VP1 Flowerpot Pendant - Mustard; VP1 Flowerpot Pendant - Signal Green; VP1 Flowerpot Pendant - Stone Blue; VP1 Flowerpot Pendant - Swim Blue</t>
  </si>
  <si>
    <t>Cube Armchair - Beck, Retrospect, Oak; Cube Armchair - Beck, Retrospect, Walnut; Cube Armchair - Epingle Stripe, Caramel, Oak; Cube Armchair - Epingle Stripe, Caramel, Walnut</t>
  </si>
  <si>
    <t>Cube Sofa - 80", Beck, Retrospect, Oak; Cube Sofa - 80", Beck, Retrospect, Walnut; Cube Sofa - 80", Toostripe, Ochre Dark / Sienna, Oak; Cube Sofa - 80", Toostripe, Ochre Dark / Sienna, Walnut</t>
  </si>
  <si>
    <t>Material / Finish</t>
  </si>
  <si>
    <t>Artist Notes</t>
  </si>
  <si>
    <t>Shares geometry with other SKUs in M001; treat this as a material/finish variant.</t>
  </si>
  <si>
    <t>Unique geometry; build new mesh from scratch.</t>
  </si>
  <si>
    <t>Shares geometry with other SKUs in M003; treat this as a material/finish variant.</t>
  </si>
  <si>
    <t>Shares geometry with other SKUs in M006; treat this as a material/finish variant.</t>
  </si>
  <si>
    <t>Shares geometry with other SKUs in M008; treat this as a material/finish variant.</t>
  </si>
  <si>
    <t>Shares geometry with other SKUs in M010; treat this as a material/finish variant.</t>
  </si>
  <si>
    <t>Shares geometry with other SKUs in M011; treat this as a material/finish variant.</t>
  </si>
  <si>
    <t>Shares geometry with other SKUs in M014; treat this as a material/finish variant.</t>
  </si>
  <si>
    <t>Shares geometry with other SKUs in M015; treat this as a material/finish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</si>
</sst>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yyyy\-mm\-dd\ hh:mm:ss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5" fillId="0" borderId="0" xfId="0" applyNumberFormat="1" applyFont="1"/>
    <xf numFmtId="164" fontId="3" fillId="0" borderId="0" xfId="0" applyNumberFormat="1" applyFont="1"/>
    <xf numFmtId="49" fontId="6" fillId="0" borderId="0" xfId="0" applyNumberFormat="1" applyFont="1"/>
    <xf numFmtId="165" fontId="3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0" fontId="8" fillId="0" borderId="1" xfId="0" applyFont="1" applyBorder="1" applyAlignment="1">
      <alignment horizontal="center" vertical="top"/>
    </xf>
    <xf numFmtId="0" fontId="7" fillId="0" borderId="0" xfId="0" applyFont="1"/>
    <xf numFmtId="0" fontId="9" fillId="0" borderId="0" xfId="0" applyFont="1"/>
    <xf numFmtId="166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wr.com/100538040.html" TargetMode="External"/><Relationship Id="rId21" Type="http://schemas.openxmlformats.org/officeDocument/2006/relationships/hyperlink" Target="https://images.hermanmiller.group/m/56d878e3152de1ed/W-sw_mode_lioness_rust.png" TargetMode="External"/><Relationship Id="rId42" Type="http://schemas.openxmlformats.org/officeDocument/2006/relationships/hyperlink" Target="https://images.hermanmiller.group/asset/90ca8257-6cbb-414d-8c2c-e25c3f9aea84/W/DWR_2585681_100608414_mustard_f1.png?trim=auto&amp;trim-sd=1&amp;blend-mode=darken&amp;blend=f8f8f8&amp;bg=f8f8f8&amp;auto=format&amp;w=600&amp;q=50&amp;h=600,https://images.hermanmiller.group/asset/22461c54-e443-47b9-a102-701b49167fe2/W/DWR_2585681_100608414_mustard_f.png?trim=auto&amp;trim-sd=1&amp;blend-mode=darken&amp;blend=f8f8f8&amp;bg=f8f8f8&amp;auto=format&amp;w=600&amp;q=50&amp;h=600" TargetMode="External"/><Relationship Id="rId47" Type="http://schemas.openxmlformats.org/officeDocument/2006/relationships/hyperlink" Target="https://www.dwr.com/100608415.html" TargetMode="External"/><Relationship Id="rId63" Type="http://schemas.openxmlformats.org/officeDocument/2006/relationships/hyperlink" Target="https://www.dwr.com/100559775.html" TargetMode="External"/><Relationship Id="rId68" Type="http://schemas.openxmlformats.org/officeDocument/2006/relationships/hyperlink" Target="https://images.hermanmiller.group/m/35da0f08ea0e6d42/W-sw_HM_wood_walnut_veneer_OU.png" TargetMode="External"/><Relationship Id="rId16" Type="http://schemas.openxmlformats.org/officeDocument/2006/relationships/hyperlink" Target="https://www.dwr.com/100177257.html" TargetMode="External"/><Relationship Id="rId11" Type="http://schemas.openxmlformats.org/officeDocument/2006/relationships/hyperlink" Target="https://images.hermanmiller.group/m/173d3295839e5744/W-8439_COLOR_sand.png" TargetMode="External"/><Relationship Id="rId32" Type="http://schemas.openxmlformats.org/officeDocument/2006/relationships/hyperlink" Target="https://images.hermanmiller.group/m/32515d299e7068bf/W-W-sw_generic_walnut.png" TargetMode="External"/><Relationship Id="rId37" Type="http://schemas.openxmlformats.org/officeDocument/2006/relationships/hyperlink" Target="https://www.dwr.com/100145046.html" TargetMode="External"/><Relationship Id="rId53" Type="http://schemas.openxmlformats.org/officeDocument/2006/relationships/hyperlink" Target="https://www.dwr.com/100072864.html" TargetMode="External"/><Relationship Id="rId58" Type="http://schemas.openxmlformats.org/officeDocument/2006/relationships/hyperlink" Target="https://images.hermanmiller.group/m/58464bca885139c3/W-DWR_2195845_100072872_white_f1.png?trim=auto&amp;trim-sd=1&amp;blend-mode=darken&amp;blend=f8f8f8&amp;bg=f8f8f8&amp;auto=format&amp;w=600&amp;q=50&amp;h=600,https://images.hermanmiller.group/m/cee549818547c05c/W-DWR_2195845_100072872_white_f.png?trim=auto&amp;trim-sd=1&amp;blend-mode=darken&amp;blend=f8f8f8&amp;bg=f8f8f8&amp;auto=format&amp;w=600&amp;q=50&amp;h=600" TargetMode="External"/><Relationship Id="rId74" Type="http://schemas.openxmlformats.org/officeDocument/2006/relationships/hyperlink" Target="https://images.hermanmiller.group/m/100476b60c8656fd/W-HM_2544056_100578875_ochre_sienna_oak_80_f.png?trim=auto&amp;trim-sd=1&amp;blend-mode=darken&amp;blend=f8f8f8&amp;bg=f8f8f8&amp;auto=format&amp;w=600&amp;q=50&amp;h=600,https://images.hermanmiller.group/m/5444409608714c56/W-HM_2544056_100578875_ochre_sienna_oak_80_a.png?trim=auto&amp;trim-sd=1&amp;blend-mode=darken&amp;blend=f8f8f8&amp;bg=f8f8f8&amp;auto=format&amp;w=600&amp;q=50&amp;h=600,https://images.hermanmiller.group/m/0b10a322cf026f25/W-HM_2544056_100578875_ochre_sienna_oak_80_p.png?trim=auto&amp;trim-sd=1&amp;blend-mode=darken&amp;blend=f8f8f8&amp;bg=f8f8f8&amp;auto=format&amp;w=600&amp;q=50&amp;h=600,https://images.hermanmiller.group/m/5798afbed744315a/W-HM_2544056_100578875_ochre_sienna_oak_80_b.png?trim=auto&amp;trim-sd=1&amp;blend-mode=darken&amp;blend=f8f8f8&amp;bg=f8f8f8&amp;auto=format&amp;w=600&amp;q=50&amp;h=600,https://images.hermanmiller.group/m/26e43b0c5bb14440/W-HM_2544056_100578875_ochre_sienna_oak_80_d1.png?trim=auto&amp;trim-sd=1&amp;blend-mode=darken&amp;blend=f8f8f8&amp;bg=f8f8f8&amp;auto=format&amp;w=600&amp;q=50&amp;h=600" TargetMode="External"/><Relationship Id="rId79" Type="http://schemas.openxmlformats.org/officeDocument/2006/relationships/hyperlink" Target="https://www.dwr.com/100656795.html" TargetMode="External"/><Relationship Id="rId5" Type="http://schemas.openxmlformats.org/officeDocument/2006/relationships/hyperlink" Target="https://images.hermanmiller.group/m/5541f3cb7f4a09b9/W-DWR_3773_100596554_cypress_green_f.png?trim=auto&amp;trim-sd=1&amp;blend-mode=darken&amp;blend=f8f8f8&amp;bg=f8f8f8&amp;auto=format&amp;w=600&amp;q=50&amp;h=600,https://images.hermanmiller.group/m/17aa88738929f830/W-DWR_3773_100596554_cypress_green_a.png?trim=auto&amp;trim-sd=1&amp;blend-mode=darken&amp;blend=f8f8f8&amp;bg=f8f8f8&amp;auto=format&amp;w=600&amp;q=50&amp;h=600" TargetMode="External"/><Relationship Id="rId61" Type="http://schemas.openxmlformats.org/officeDocument/2006/relationships/hyperlink" Target="https://www.dwr.com/100559774.html" TargetMode="External"/><Relationship Id="rId82" Type="http://schemas.openxmlformats.org/officeDocument/2006/relationships/hyperlink" Target="https://images.hermanmiller.group/asset/fe9c66aa-b072-4275-aaec-8fdeba8babaa/W/DWR_2589636_100657244_trope_black_a.png?trim=auto&amp;trim-sd=1&amp;blend-mode=darken&amp;blend=f8f8f8&amp;bg=f8f8f8&amp;auto=format&amp;w=600&amp;q=50&amp;h=600" TargetMode="External"/><Relationship Id="rId19" Type="http://schemas.openxmlformats.org/officeDocument/2006/relationships/hyperlink" Target="https://images.hermanmiller.group/m/173d3295839e5744/W-8439_COLOR_sand.png" TargetMode="External"/><Relationship Id="rId14" Type="http://schemas.openxmlformats.org/officeDocument/2006/relationships/hyperlink" Target="https://images.hermanmiller.group/asset/e9ee858f-1ae1-4073-867a-8e02bf991e7e/W/MTO_Kink_vase_26_deep_red_muuto_hi_res-tif.png?trim=auto&amp;trim-sd=1&amp;blend-mode=darken&amp;blend=f8f8f8&amp;bg=f8f8f8&amp;auto=format&amp;w=600&amp;q=50&amp;h=600" TargetMode="External"/><Relationship Id="rId22" Type="http://schemas.openxmlformats.org/officeDocument/2006/relationships/hyperlink" Target="https://images.hermanmiller.group/m/ee96bca4594e25e1/W-DWR_2555542_100538042_saltwater_eucalyptus_f.png?trim=auto&amp;trim-sd=1&amp;blend-mode=darken&amp;blend=f8f8f8&amp;bg=f8f8f8&amp;auto=format&amp;w=600&amp;q=50&amp;h=600,https://images.hermanmiller.group/m/a34aaf70bf2bd566/W-DWR_2555542_100538042_saltwater_eucalyptus_b.png?trim=auto&amp;trim-sd=1&amp;blend-mode=darken&amp;blend=f8f8f8&amp;bg=f8f8f8&amp;auto=format&amp;w=600&amp;q=50&amp;h=600" TargetMode="External"/><Relationship Id="rId27" Type="http://schemas.openxmlformats.org/officeDocument/2006/relationships/hyperlink" Target="https://images.hermanmiller.group/m/52b7d81d68bcea54/W-DWR_2555542_100538037_lioness_rust_f.png?trim=auto&amp;trim-sd=1&amp;blend-mode=darken&amp;blend=f8f8f8&amp;bg=f8f8f8&amp;auto=format&amp;w=600&amp;q=50&amp;h=600,https://images.hermanmiller.group/m/97a874afda34b955/W-DWR_2555542_100538037_lioness_rust_b.png?trim=auto&amp;trim-sd=1&amp;blend-mode=darken&amp;blend=f8f8f8&amp;bg=f8f8f8&amp;auto=format&amp;w=600&amp;q=50&amp;h=600" TargetMode="External"/><Relationship Id="rId30" Type="http://schemas.openxmlformats.org/officeDocument/2006/relationships/hyperlink" Target="https://images.hermanmiller.group/m/1ac2f579d3d7dce1/W-sw_generic_oak.png" TargetMode="External"/><Relationship Id="rId35" Type="http://schemas.openxmlformats.org/officeDocument/2006/relationships/hyperlink" Target="https://images.hermanmiller.group/m/52e3b6686cc746f5/W-sw_knoll_iseo_light-grey.png" TargetMode="External"/><Relationship Id="rId43" Type="http://schemas.openxmlformats.org/officeDocument/2006/relationships/hyperlink" Target="https://images.hermanmiller.group/asset/37fef664-13d2-46e3-8926-ac73ec802ce6/W/sw_ameico_mustard.png" TargetMode="External"/><Relationship Id="rId48" Type="http://schemas.openxmlformats.org/officeDocument/2006/relationships/hyperlink" Target="https://images.hermanmiller.group/asset/2d1f0cb7-20df-444f-a7e3-13c148242151/W/DWR_2585681_100608415_stone_blue_f.png?trim=auto&amp;trim-sd=1&amp;blend-mode=darken&amp;blend=f8f8f8&amp;bg=f8f8f8&amp;auto=format&amp;w=600&amp;q=50&amp;h=600" TargetMode="External"/><Relationship Id="rId56" Type="http://schemas.openxmlformats.org/officeDocument/2006/relationships/hyperlink" Target="https://images.hermanmiller.group/m/64d64d767043b383/W-sw_woodard_black_metal-tif.png" TargetMode="External"/><Relationship Id="rId64" Type="http://schemas.openxmlformats.org/officeDocument/2006/relationships/hyperlink" Target="https://images.hermanmiller.group/m/7ed6c0783088d4bc/W-HM_2544155_100559775_retrospect_walnut_f-tif.png?trim=auto&amp;trim-sd=1&amp;blend-mode=darken&amp;blend=f8f8f8&amp;bg=f8f8f8&amp;auto=format&amp;w=600&amp;q=50&amp;h=600" TargetMode="External"/><Relationship Id="rId69" Type="http://schemas.openxmlformats.org/officeDocument/2006/relationships/hyperlink" Target="https://www.dwr.com/100559923.html" TargetMode="External"/><Relationship Id="rId77" Type="http://schemas.openxmlformats.org/officeDocument/2006/relationships/hyperlink" Target="https://www.dwr.com/100656809.html" TargetMode="External"/><Relationship Id="rId8" Type="http://schemas.openxmlformats.org/officeDocument/2006/relationships/hyperlink" Target="https://images.hermanmiller.group/m/24f21fe118703fc3/W-DWR_3845_655422_bronze_f_v4.png?trim=auto&amp;trim-sd=1&amp;blend-mode=darken&amp;blend=f8f8f8&amp;bg=f8f8f8&amp;auto=format&amp;w=600&amp;q=50&amp;h=600" TargetMode="External"/><Relationship Id="rId51" Type="http://schemas.openxmlformats.org/officeDocument/2006/relationships/hyperlink" Target="https://images.hermanmiller.group/asset/86c7ab08-d48f-49f4-85b8-10d9bcc4ef2a/W/DWR_2585681_100608512_swim_blue_f1.png?trim=auto&amp;trim-sd=1&amp;blend-mode=darken&amp;blend=f8f8f8&amp;bg=f8f8f8&amp;auto=format&amp;w=600&amp;q=50&amp;h=600,https://images.hermanmiller.group/asset/f35a3ef5-c186-492f-b86d-1aee79f7a931/W/DWR_2585681_100608512_swim_blue_f.png?trim=auto&amp;trim-sd=1&amp;blend-mode=darken&amp;blend=f8f8f8&amp;bg=f8f8f8&amp;auto=format&amp;w=600&amp;q=50&amp;h=600" TargetMode="External"/><Relationship Id="rId72" Type="http://schemas.openxmlformats.org/officeDocument/2006/relationships/hyperlink" Target="https://images.hermanmiller.group/m/890d3fd15b25dc8c/W-HM_2544056_100559924_retrospect_walnut_f-tif.png?trim=auto&amp;trim-sd=1&amp;blend-mode=darken&amp;blend=f8f8f8&amp;bg=f8f8f8&amp;auto=format&amp;w=600&amp;q=50&amp;h=600" TargetMode="External"/><Relationship Id="rId80" Type="http://schemas.openxmlformats.org/officeDocument/2006/relationships/hyperlink" Target="https://images.hermanmiller.group/asset/1dbecaca-d9a2-4094-bc49-7142a459f164/W/DWR_2589634_100656795_trope_black_a.png?trim=auto&amp;trim-sd=1&amp;blend-mode=darken&amp;blend=f8f8f8&amp;bg=f8f8f8&amp;auto=format&amp;w=600&amp;q=50&amp;h=600,https://images.hermanmiller.group/asset/87463b5a-f1fe-400d-9f4a-b51cddfb3464/W/DWR_2589634_100656795_trope_black_f.png?trim=auto&amp;trim-sd=1&amp;blend-mode=darken&amp;blend=f8f8f8&amp;bg=f8f8f8&amp;auto=format&amp;w=600&amp;q=50&amp;h=600" TargetMode="External"/><Relationship Id="rId3" Type="http://schemas.openxmlformats.org/officeDocument/2006/relationships/hyperlink" Target="https://images.hermanmiller.group/m/1b04cb5cd699f245/W-sw_knoll_iseo_bordeaux.png" TargetMode="External"/><Relationship Id="rId12" Type="http://schemas.openxmlformats.org/officeDocument/2006/relationships/hyperlink" Target="https://images.hermanmiller.group/m/173d3295839e5744/W-8439_COLOR_sand.png" TargetMode="External"/><Relationship Id="rId17" Type="http://schemas.openxmlformats.org/officeDocument/2006/relationships/hyperlink" Target="https://images.hermanmiller.group/m/dc80b56311cfb48a/W-MTO_2518291_100177257_sand_f.png?trim=auto&amp;trim-sd=1&amp;blend-mode=darken&amp;blend=f8f8f8&amp;bg=f8f8f8&amp;auto=format&amp;w=600&amp;q=50&amp;h=600,https://images.hermanmiller.group/m/9b55acb44cc3c7f7/W-MTO_2518291_100177257_sand_a.png?trim=auto&amp;trim-sd=1&amp;blend-mode=darken&amp;blend=f8f8f8&amp;bg=f8f8f8&amp;auto=format&amp;w=600&amp;q=50&amp;h=600" TargetMode="External"/><Relationship Id="rId25" Type="http://schemas.openxmlformats.org/officeDocument/2006/relationships/hyperlink" Target="https://images.hermanmiller.group/m/5e978bf5e57db663/W-sw_mode_saltwater_jetty.png" TargetMode="External"/><Relationship Id="rId33" Type="http://schemas.openxmlformats.org/officeDocument/2006/relationships/hyperlink" Target="https://www.dwr.com/100168671.html" TargetMode="External"/><Relationship Id="rId38" Type="http://schemas.openxmlformats.org/officeDocument/2006/relationships/hyperlink" Target="https://images.hermanmiller.group/m/72f3eac1bc0cd041/W-HAY_2515111_100145046_divina_691_remix_692_walnut_f.png?trim=auto&amp;trim-sd=1&amp;blend-mode=darken&amp;blend=f8f8f8&amp;bg=f8f8f8&amp;auto=format&amp;w=600&amp;q=50&amp;h=600,https://images.hermanmiller.group/m/e795ddb8c0b91fd9/W-HAY_2515111_100145046_divina_691_remix_692_walnut_a.png?trim=auto&amp;trim-sd=1&amp;blend-mode=darken&amp;blend=f8f8f8&amp;bg=f8f8f8&amp;auto=format&amp;w=600&amp;q=50&amp;h=600,https://images.hermanmiller.group/m/b92504418aa1b376/W-HAY_2515111_100145046_divina_691_remix_692_walnut_p.png?trim=auto&amp;trim-sd=1&amp;blend-mode=darken&amp;blend=f8f8f8&amp;bg=f8f8f8&amp;auto=format&amp;w=600&amp;q=50&amp;h=600" TargetMode="External"/><Relationship Id="rId46" Type="http://schemas.openxmlformats.org/officeDocument/2006/relationships/hyperlink" Target="https://images.hermanmiller.group/asset/aeb46efd-ce33-4ebd-a966-45f79d8d0abc/W/sw_ameico_signal_green.png" TargetMode="External"/><Relationship Id="rId59" Type="http://schemas.openxmlformats.org/officeDocument/2006/relationships/hyperlink" Target="https://images.hermanmiller.group/m/997eb4a8dbd541c0/W-sw_woodard_white_cushion-tif.png" TargetMode="External"/><Relationship Id="rId67" Type="http://schemas.openxmlformats.org/officeDocument/2006/relationships/hyperlink" Target="https://www.dwr.com/100661719.html" TargetMode="External"/><Relationship Id="rId20" Type="http://schemas.openxmlformats.org/officeDocument/2006/relationships/hyperlink" Target="https://images.hermanmiller.group/m/0ecccd612804f38a/W-DWR_2555542_100538043_lioness_rust_f.png?trim=auto&amp;trim-sd=1&amp;blend-mode=darken&amp;blend=f8f8f8&amp;bg=f8f8f8&amp;auto=format&amp;w=600&amp;q=50&amp;h=600,https://images.hermanmiller.group/m/cbab7bd0dd5ac09f/W-DWR_2555542_100538043_lioness_rust_b.png?trim=auto&amp;trim-sd=1&amp;blend-mode=darken&amp;blend=f8f8f8&amp;bg=f8f8f8&amp;auto=format&amp;w=600&amp;q=50&amp;h=600" TargetMode="External"/><Relationship Id="rId41" Type="http://schemas.openxmlformats.org/officeDocument/2006/relationships/hyperlink" Target="https://www.dwr.com/100608414.html" TargetMode="External"/><Relationship Id="rId54" Type="http://schemas.openxmlformats.org/officeDocument/2006/relationships/hyperlink" Target="https://images.hermanmiller.group/m/e8daf7224dcc744c/W-DWR_2195841_100072864_black_f.png?trim=auto&amp;trim-sd=1&amp;blend-mode=darken&amp;blend=f8f8f8&amp;bg=f8f8f8&amp;auto=format&amp;w=600&amp;q=50&amp;h=600,https://images.hermanmiller.group/m/5eba0caf9552ca7b/W-DWR_2195841_100072866_red_orange_a.png?trim=auto&amp;trim-sd=1&amp;blend-mode=darken&amp;blend=f8f8f8&amp;bg=f8f8f8&amp;auto=format&amp;w=600&amp;q=50&amp;h=600,https://images.hermanmiller.group/m/cd749113b7b28087/W-DWR_2195841_100072864_black_a.png?trim=auto&amp;trim-sd=1&amp;blend-mode=darken&amp;blend=f8f8f8&amp;bg=f8f8f8&amp;auto=format&amp;w=600&amp;q=50&amp;h=600,https://images.hermanmiller.group/m/a8d0f219e4aee34b/W-DWR_2195841_100072864_black_p.png?trim=auto&amp;trim-sd=1&amp;blend-mode=darken&amp;blend=f8f8f8&amp;bg=f8f8f8&amp;auto=format&amp;w=600&amp;q=50&amp;h=600,https://images.hermanmiller.group/m/b27a6e3fe3d2e42c/W-DWR_2195841_100072864_black_b.png?trim=auto&amp;trim-sd=1&amp;blend-mode=darken&amp;blend=f8f8f8&amp;bg=f8f8f8&amp;auto=format&amp;w=600&amp;q=50&amp;h=600" TargetMode="External"/><Relationship Id="rId62" Type="http://schemas.openxmlformats.org/officeDocument/2006/relationships/hyperlink" Target="https://images.hermanmiller.group/m/42e89e0d414ecdff/W-HM_2544155_100559774_retrospect_oak_f-tif.png?trim=auto&amp;trim-sd=1&amp;blend-mode=darken&amp;blend=f8f8f8&amp;bg=f8f8f8&amp;auto=format&amp;w=600&amp;q=50&amp;h=600" TargetMode="External"/><Relationship Id="rId70" Type="http://schemas.openxmlformats.org/officeDocument/2006/relationships/hyperlink" Target="https://images.hermanmiller.group/m/637128ab0a7830a5/W-HM_2544056_100559923_retrospect_oak_f-tif.png?trim=auto&amp;trim-sd=1&amp;blend-mode=darken&amp;blend=f8f8f8&amp;bg=f8f8f8&amp;auto=format&amp;w=600&amp;q=50&amp;h=600" TargetMode="External"/><Relationship Id="rId75" Type="http://schemas.openxmlformats.org/officeDocument/2006/relationships/hyperlink" Target="https://www.dwr.com/100578777.html" TargetMode="External"/><Relationship Id="rId1" Type="http://schemas.openxmlformats.org/officeDocument/2006/relationships/hyperlink" Target="https://www.dwr.com/100596557.html" TargetMode="External"/><Relationship Id="rId6" Type="http://schemas.openxmlformats.org/officeDocument/2006/relationships/hyperlink" Target="https://images.hermanmiller.group/m/33662a910125ad55/W-COLOR_cypress_green.png" TargetMode="External"/><Relationship Id="rId15" Type="http://schemas.openxmlformats.org/officeDocument/2006/relationships/hyperlink" Target="https://images.hermanmiller.group/m/296b847dd49fe7f1/W-sw_muuto_deep-red_color_swatch.png" TargetMode="External"/><Relationship Id="rId23" Type="http://schemas.openxmlformats.org/officeDocument/2006/relationships/hyperlink" Target="https://images.hermanmiller.group/m/5e978bf5e57db663/W-sw_mode_saltwater_jetty.png" TargetMode="External"/><Relationship Id="rId28" Type="http://schemas.openxmlformats.org/officeDocument/2006/relationships/hyperlink" Target="https://images.hermanmiller.group/m/56d878e3152de1ed/W-sw_mode_lioness_rust.png" TargetMode="External"/><Relationship Id="rId36" Type="http://schemas.openxmlformats.org/officeDocument/2006/relationships/hyperlink" Target="https://images.hermanmiller.group/m/1744a6757a8da458/W-sw_fritz_hansen_colored_ash_light_grey.png" TargetMode="External"/><Relationship Id="rId49" Type="http://schemas.openxmlformats.org/officeDocument/2006/relationships/hyperlink" Target="https://images.hermanmiller.group/asset/e6d8c3e5-db74-4f99-bd0a-32fd1ce2b3ef/W/sw_ameico_stone_blue.png" TargetMode="External"/><Relationship Id="rId57" Type="http://schemas.openxmlformats.org/officeDocument/2006/relationships/hyperlink" Target="https://www.dwr.com/100072872.html" TargetMode="External"/><Relationship Id="rId10" Type="http://schemas.openxmlformats.org/officeDocument/2006/relationships/hyperlink" Target="https://images.hermanmiller.group/m/b0e0441bf31edaf9/W-MTO_kink_vase_39_sand_f-tif.png?trim=auto&amp;trim-sd=1&amp;blend-mode=darken&amp;blend=f8f8f8&amp;bg=f8f8f8&amp;auto=format&amp;w=600&amp;q=50&amp;h=600,https://images.hermanmiller.group/m/3a99261ca223af9f/W-MTO_kink_vase_39_sand_a-tif.png?trim=auto&amp;trim-sd=1&amp;blend-mode=darken&amp;blend=f8f8f8&amp;bg=f8f8f8&amp;auto=format&amp;w=600&amp;q=50&amp;h=600" TargetMode="External"/><Relationship Id="rId31" Type="http://schemas.openxmlformats.org/officeDocument/2006/relationships/hyperlink" Target="https://www.dwr.com/100642342.html" TargetMode="External"/><Relationship Id="rId44" Type="http://schemas.openxmlformats.org/officeDocument/2006/relationships/hyperlink" Target="https://www.dwr.com/100608411.html" TargetMode="External"/><Relationship Id="rId52" Type="http://schemas.openxmlformats.org/officeDocument/2006/relationships/hyperlink" Target="https://images.hermanmiller.group/asset/b8b193a3-edb1-429a-a403-dd7ea707d353/W/sw_ameico_swim_blue.png" TargetMode="External"/><Relationship Id="rId60" Type="http://schemas.openxmlformats.org/officeDocument/2006/relationships/hyperlink" Target="https://images.hermanmiller.group/m/997eb4a8dbd541c0/W-sw_woodard_white_cushion-tif.png" TargetMode="External"/><Relationship Id="rId65" Type="http://schemas.openxmlformats.org/officeDocument/2006/relationships/hyperlink" Target="https://www.dwr.com/100673417.html" TargetMode="External"/><Relationship Id="rId73" Type="http://schemas.openxmlformats.org/officeDocument/2006/relationships/hyperlink" Target="https://www.dwr.com/100578875.html" TargetMode="External"/><Relationship Id="rId78" Type="http://schemas.openxmlformats.org/officeDocument/2006/relationships/hyperlink" Target="https://images.hermanmiller.group/asset/deacaab0-b80f-44b7-be8e-28df0f625c81/W/DWR_2589635_100656809_trope_black_f.png?trim=auto&amp;trim-sd=1&amp;blend-mode=darken&amp;blend=f8f8f8&amp;bg=f8f8f8&amp;auto=format&amp;w=600&amp;q=50&amp;h=600,https://images.hermanmiller.group/asset/f4f84662-2078-4312-bbe8-e916e9f69214/W/DWR_2589635_100656809_trope_black_a.png?trim=auto&amp;trim-sd=1&amp;blend-mode=darken&amp;blend=f8f8f8&amp;bg=f8f8f8&amp;auto=format&amp;w=600&amp;q=50&amp;h=600" TargetMode="External"/><Relationship Id="rId81" Type="http://schemas.openxmlformats.org/officeDocument/2006/relationships/hyperlink" Target="https://www.dwr.com/100657244.html" TargetMode="External"/><Relationship Id="rId4" Type="http://schemas.openxmlformats.org/officeDocument/2006/relationships/hyperlink" Target="https://www.dwr.com/100596554.html" TargetMode="External"/><Relationship Id="rId9" Type="http://schemas.openxmlformats.org/officeDocument/2006/relationships/hyperlink" Target="https://www.dwr.com/100658330.html" TargetMode="External"/><Relationship Id="rId13" Type="http://schemas.openxmlformats.org/officeDocument/2006/relationships/hyperlink" Target="https://www.dwr.com/100658328.html" TargetMode="External"/><Relationship Id="rId18" Type="http://schemas.openxmlformats.org/officeDocument/2006/relationships/hyperlink" Target="https://images.hermanmiller.group/m/173d3295839e5744/W-8439_COLOR_sand.png" TargetMode="External"/><Relationship Id="rId39" Type="http://schemas.openxmlformats.org/officeDocument/2006/relationships/hyperlink" Target="https://www.dwr.com/100181152.html" TargetMode="External"/><Relationship Id="rId34" Type="http://schemas.openxmlformats.org/officeDocument/2006/relationships/hyperlink" Target="https://images.hermanmiller.group/m/acbce1982889e42f/W-DWR_2516240_100168671_light_grey_f.png?trim=auto&amp;trim-sd=1&amp;blend-mode=darken&amp;blend=f8f8f8&amp;bg=f8f8f8&amp;auto=format&amp;w=600&amp;q=50&amp;h=600" TargetMode="External"/><Relationship Id="rId50" Type="http://schemas.openxmlformats.org/officeDocument/2006/relationships/hyperlink" Target="https://www.dwr.com/100608512.html" TargetMode="External"/><Relationship Id="rId55" Type="http://schemas.openxmlformats.org/officeDocument/2006/relationships/hyperlink" Target="https://images.hermanmiller.group/m/64d64d767043b383/W-sw_woodard_black_metal-tif.png" TargetMode="External"/><Relationship Id="rId76" Type="http://schemas.openxmlformats.org/officeDocument/2006/relationships/hyperlink" Target="https://images.hermanmiller.group/m/f00496b2a80e9e45/W-HM_2544056_100578777_ochre_sienna_walnut_80_f.png?trim=auto&amp;trim-sd=1&amp;blend-mode=darken&amp;blend=f8f8f8&amp;bg=f8f8f8&amp;auto=format&amp;w=600&amp;q=50&amp;h=600" TargetMode="External"/><Relationship Id="rId7" Type="http://schemas.openxmlformats.org/officeDocument/2006/relationships/hyperlink" Target="https://www.dwr.com/655422.html" TargetMode="External"/><Relationship Id="rId71" Type="http://schemas.openxmlformats.org/officeDocument/2006/relationships/hyperlink" Target="https://www.dwr.com/100559924.html" TargetMode="External"/><Relationship Id="rId2" Type="http://schemas.openxmlformats.org/officeDocument/2006/relationships/hyperlink" Target="https://images.hermanmiller.group/m/c08be6ee672d709/W-DWR_3773_100596557_bordeaux_f.png?trim=auto&amp;trim-sd=1&amp;blend-mode=darken&amp;blend=f8f8f8&amp;bg=f8f8f8&amp;auto=format&amp;w=600&amp;q=50&amp;h=600,https://images.hermanmiller.group/m/5687626852d66cf/W-DWR_3773_100596557_bordeaux_a.png?trim=auto&amp;trim-sd=1&amp;blend-mode=darken&amp;blend=f8f8f8&amp;bg=f8f8f8&amp;auto=format&amp;w=600&amp;q=50&amp;h=600,https://images.hermanmiller.group/m/1ed3fc52ddf52fa9/W-DWR_3773_100596557_bordeaux_b.png?trim=auto&amp;trim-sd=1&amp;blend-mode=darken&amp;blend=f8f8f8&amp;bg=f8f8f8&amp;auto=format&amp;w=600&amp;q=50&amp;h=600" TargetMode="External"/><Relationship Id="rId29" Type="http://schemas.openxmlformats.org/officeDocument/2006/relationships/hyperlink" Target="https://www.dwr.com/100642343.html" TargetMode="External"/><Relationship Id="rId24" Type="http://schemas.openxmlformats.org/officeDocument/2006/relationships/hyperlink" Target="https://images.hermanmiller.group/m/af48e49dda7b62a0/W-DWR_2555542_100538036_saltwater_eucalyptus_f.png?trim=auto&amp;trim-sd=1&amp;blend-mode=darken&amp;blend=f8f8f8&amp;bg=f8f8f8&amp;auto=format&amp;w=600&amp;q=50&amp;h=600,https://images.hermanmiller.group/m/d57874c0ab920d8e/W-DWR_2555542_100538036_saltwater_eucalyptus_b.png?trim=auto&amp;trim-sd=1&amp;blend-mode=darken&amp;blend=f8f8f8&amp;bg=f8f8f8&amp;auto=format&amp;w=600&amp;q=50&amp;h=600" TargetMode="External"/><Relationship Id="rId40" Type="http://schemas.openxmlformats.org/officeDocument/2006/relationships/hyperlink" Target="https://images.hermanmiller.group/m/4704d4d3bc253040/W-HAY_2515111_100181152_clavicle_birch_walnut_a.png?trim=auto&amp;trim-sd=1&amp;blend-mode=darken&amp;blend=f8f8f8&amp;bg=f8f8f8&amp;auto=format&amp;w=600&amp;q=50&amp;h=600" TargetMode="External"/><Relationship Id="rId45" Type="http://schemas.openxmlformats.org/officeDocument/2006/relationships/hyperlink" Target="https://images.hermanmiller.group/asset/b84baf40-5c68-427b-923f-25abca0f9116/W/DWR_2585681_100608411_signal_green_f1.png?trim=auto&amp;trim-sd=1&amp;blend-mode=darken&amp;blend=f8f8f8&amp;bg=f8f8f8&amp;auto=format&amp;w=600&amp;q=50&amp;h=600,https://images.hermanmiller.group/asset/27f3d383-69d3-46cf-8819-559473cbdadf/W/DWR_2585681_100608411_signal_green_f.png?trim=auto&amp;trim-sd=1&amp;blend-mode=darken&amp;blend=f8f8f8&amp;bg=f8f8f8&amp;auto=format&amp;w=600&amp;q=50&amp;h=600" TargetMode="External"/><Relationship Id="rId66" Type="http://schemas.openxmlformats.org/officeDocument/2006/relationships/hyperlink" Target="https://images.hermanmiller.group/m/68d3871517d8eb26/W-sw_HM_white_oak.pn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wr.com/100538040.html" TargetMode="External"/><Relationship Id="rId21" Type="http://schemas.openxmlformats.org/officeDocument/2006/relationships/hyperlink" Target="https://images.hermanmiller.group/m/56d878e3152de1ed/W-sw_mode_lioness_rust.png" TargetMode="External"/><Relationship Id="rId42" Type="http://schemas.openxmlformats.org/officeDocument/2006/relationships/hyperlink" Target="https://images.hermanmiller.group/m/7d6cd08f79cc3093/W-W-COLOR_divina_691_mauve_remix_692_plum.png%20https:/images.hermanmiller.group/m/32515d299e7068bf/W-W-sw_generic_walnut.png" TargetMode="External"/><Relationship Id="rId47" Type="http://schemas.openxmlformats.org/officeDocument/2006/relationships/hyperlink" Target="https://www.dwr.com/100608414.html" TargetMode="External"/><Relationship Id="rId63" Type="http://schemas.openxmlformats.org/officeDocument/2006/relationships/hyperlink" Target="https://www.dwr.com/100072872.html" TargetMode="External"/><Relationship Id="rId68" Type="http://schemas.openxmlformats.org/officeDocument/2006/relationships/hyperlink" Target="https://images.hermanmiller.group/m/42e89e0d414ecdff/W-HM_2544155_100559774_retrospect_oak_f-tif.png?trim=auto&amp;trim-sd=1&amp;blend-mode=darken&amp;blend=f8f8f8&amp;bg=f8f8f8&amp;auto=format&amp;w=2400&amp;q=100&amp;h=2400" TargetMode="External"/><Relationship Id="rId84" Type="http://schemas.openxmlformats.org/officeDocument/2006/relationships/hyperlink" Target="https://images.hermanmiller.group/m/637128ab0a7830a5/W-HM_2544056_100559923_retrospect_oak_f-tif.png?trim=auto&amp;trim-sd=1&amp;blend-mode=darken&amp;blend=f8f8f8&amp;bg=f8f8f8&amp;auto=format&amp;w=2400&amp;q=100&amp;h=2400" TargetMode="External"/><Relationship Id="rId89" Type="http://schemas.openxmlformats.org/officeDocument/2006/relationships/hyperlink" Target="https://images.hermanmiller.group/m/4f8628d083dd81a3/W-sw_maharam_beck_033_retrospect.png%20https:/images.hermanmiller.group/m/35da0f08ea0e6d42/W-sw_HM_wood_walnut_veneer_OU.png" TargetMode="External"/><Relationship Id="rId16" Type="http://schemas.openxmlformats.org/officeDocument/2006/relationships/hyperlink" Target="https://www.dwr.com/100177257.html" TargetMode="External"/><Relationship Id="rId11" Type="http://schemas.openxmlformats.org/officeDocument/2006/relationships/hyperlink" Target="https://images.hermanmiller.group/m/173d3295839e5744/W-8439_COLOR_sand.png" TargetMode="External"/><Relationship Id="rId32" Type="http://schemas.openxmlformats.org/officeDocument/2006/relationships/hyperlink" Target="https://www.dwr.com/100642342.html" TargetMode="External"/><Relationship Id="rId37" Type="http://schemas.openxmlformats.org/officeDocument/2006/relationships/hyperlink" Target="https://images.hermanmiller.group/m/52e3b6686cc746f5/W-sw_knoll_iseo_light-grey.png" TargetMode="External"/><Relationship Id="rId53" Type="http://schemas.openxmlformats.org/officeDocument/2006/relationships/hyperlink" Target="https://www.dwr.com/100608415.html" TargetMode="External"/><Relationship Id="rId58" Type="http://schemas.openxmlformats.org/officeDocument/2006/relationships/hyperlink" Target="https://images.hermanmiller.group/asset/b8b193a3-edb1-429a-a403-dd7ea707d353/W/sw_ameico_swim_blue.png" TargetMode="External"/><Relationship Id="rId74" Type="http://schemas.openxmlformats.org/officeDocument/2006/relationships/hyperlink" Target="https://images.hermanmiller.group/m/35da0f08ea0e6d42/W-sw_HM_wood_walnut_veneer_OU.png%20https:/images.hermanmiller.group/m/4f8628d083dd81a3/W-sw_maharam_beck_033_retrospect.png" TargetMode="External"/><Relationship Id="rId79" Type="http://schemas.openxmlformats.org/officeDocument/2006/relationships/hyperlink" Target="https://www.dwr.com/100661719.html" TargetMode="External"/><Relationship Id="rId102" Type="http://schemas.openxmlformats.org/officeDocument/2006/relationships/hyperlink" Target="https://images.hermanmiller.group/asset/1dbecaca-d9a2-4094-bc49-7142a459f164/W/DWR_2589634_100656795_trope_black_a.png?trim=auto&amp;trim-sd=1&amp;blend-mode=darken&amp;blend=f8f8f8&amp;bg=f8f8f8&amp;auto=format&amp;w=2400&amp;q=100&amp;h=2400,https://images.hermanmiller.group/asset/87463b5a-f1fe-400d-9f4a-b51cddfb3464/W/DWR_2589634_100656795_trope_black_f.png?trim=auto&amp;trim-sd=1&amp;blend-mode=darken&amp;blend=f8f8f8&amp;bg=f8f8f8&amp;auto=format&amp;w=2400&amp;q=100&amp;h=2400" TargetMode="External"/><Relationship Id="rId5" Type="http://schemas.openxmlformats.org/officeDocument/2006/relationships/hyperlink" Target="https://images.hermanmiller.group/m/5541f3cb7f4a09b9/W-DWR_3773_100596554_cypress_green_f.png?trim=auto&amp;trim-sd=1&amp;blend-mode=darken&amp;blend=f8f8f8&amp;bg=f8f8f8&amp;auto=format&amp;w=2400&amp;q=100&amp;h=2400,https://images.hermanmiller.group/m/17aa88738929f830/W-DWR_3773_100596554_cypress_green_a.png?trim=auto&amp;trim-sd=1&amp;blend-mode=darken&amp;blend=f8f8f8&amp;bg=f8f8f8&amp;auto=format&amp;w=2400&amp;q=100&amp;h=2400" TargetMode="External"/><Relationship Id="rId90" Type="http://schemas.openxmlformats.org/officeDocument/2006/relationships/hyperlink" Target="https://images.hermanmiller.group/m/35da0f08ea0e6d42/W-sw_HM_wood_walnut_veneer_OU.png%20https:/images.hermanmiller.group/m/4f8628d083dd81a3/W-sw_maharam_beck_033_retrospect.png" TargetMode="External"/><Relationship Id="rId95" Type="http://schemas.openxmlformats.org/officeDocument/2006/relationships/hyperlink" Target="https://www.dwr.com/100578777.html" TargetMode="External"/><Relationship Id="rId22" Type="http://schemas.openxmlformats.org/officeDocument/2006/relationships/hyperlink" Target="https://images.hermanmiller.group/m/ee96bca4594e25e1/W-DWR_2555542_100538042_saltwater_eucalyptus_f.png?trim=auto&amp;trim-sd=1&amp;blend-mode=darken&amp;blend=f8f8f8&amp;bg=f8f8f8&amp;auto=format&amp;w=2400&amp;q=100&amp;h=2400,https://images.hermanmiller.group/m/a34aaf70bf2bd566/W-DWR_2555542_100538042_saltwater_eucalyptus_b.png?trim=auto&amp;trim-sd=1&amp;blend-mode=darken&amp;blend=f8f8f8&amp;bg=f8f8f8&amp;auto=format&amp;w=2400&amp;q=100&amp;h=2400" TargetMode="External"/><Relationship Id="rId27" Type="http://schemas.openxmlformats.org/officeDocument/2006/relationships/hyperlink" Target="https://images.hermanmiller.group/m/52b7d81d68bcea54/W-DWR_2555542_100538037_lioness_rust_f.png?trim=auto&amp;trim-sd=1&amp;blend-mode=darken&amp;blend=f8f8f8&amp;bg=f8f8f8&amp;auto=format&amp;w=2400&amp;q=100&amp;h=2400,https://images.hermanmiller.group/m/97a874afda34b955/W-DWR_2555542_100538037_lioness_rust_b.png?trim=auto&amp;trim-sd=1&amp;blend-mode=darken&amp;blend=f8f8f8&amp;bg=f8f8f8&amp;auto=format&amp;w=2400&amp;q=100&amp;h=2400" TargetMode="External"/><Relationship Id="rId43" Type="http://schemas.openxmlformats.org/officeDocument/2006/relationships/hyperlink" Target="https://www.dwr.com/100181152.html" TargetMode="External"/><Relationship Id="rId48" Type="http://schemas.openxmlformats.org/officeDocument/2006/relationships/hyperlink" Target="https://images.hermanmiller.group/asset/90ca8257-6cbb-414d-8c2c-e25c3f9aea84/W/DWR_2585681_100608414_mustard_f1.png?trim=auto&amp;trim-sd=1&amp;blend-mode=darken&amp;blend=f8f8f8&amp;bg=f8f8f8&amp;auto=format&amp;w=2400&amp;q=100&amp;h=2400,https://images.hermanmiller.group/asset/22461c54-e443-47b9-a102-701b49167fe2/W/DWR_2585681_100608414_mustard_f.png?trim=auto&amp;trim-sd=1&amp;blend-mode=darken&amp;blend=f8f8f8&amp;bg=f8f8f8&amp;auto=format&amp;w=2400&amp;q=100&amp;h=2400" TargetMode="External"/><Relationship Id="rId64" Type="http://schemas.openxmlformats.org/officeDocument/2006/relationships/hyperlink" Target="https://images.hermanmiller.group/m/58464bca885139c3/W-DWR_2195845_100072872_white_f1.png?trim=auto&amp;trim-sd=1&amp;blend-mode=darken&amp;blend=f8f8f8&amp;bg=f8f8f8&amp;auto=format&amp;w=2400&amp;q=100&amp;h=2400,https://images.hermanmiller.group/m/cee549818547c05c/W-DWR_2195845_100072872_white_f.png?trim=auto&amp;trim-sd=1&amp;blend-mode=darken&amp;blend=f8f8f8&amp;bg=f8f8f8&amp;auto=format&amp;w=2400&amp;q=100&amp;h=2400" TargetMode="External"/><Relationship Id="rId69" Type="http://schemas.openxmlformats.org/officeDocument/2006/relationships/hyperlink" Target="https://images.hermanmiller.group/m/4f8628d083dd81a3/W-sw_maharam_beck_033_retrospect.png%20https:/images.hermanmiller.group/m/68d3871517d8eb26/W-sw_HM_white_oak.png" TargetMode="External"/><Relationship Id="rId80" Type="http://schemas.openxmlformats.org/officeDocument/2006/relationships/hyperlink" Target="https://images.hermanmiller.group/asset/c429b71a-e7a2-4001-ad58-b896adb95e2d/W/DWR_2544155_100661719_epingle_stripe_caramel_walnut_f.png?trim=auto&amp;trim-sd=1&amp;blend-mode=darken&amp;blend=f8f8f8&amp;bg=f8f8f8&amp;auto=format&amp;w=2400&amp;q=100&amp;h=2400,https://images.hermanmiller.group/asset/9ca69728-dfaa-4704-9f57-bd0fb1427fc8/W/DWR_2544155_100661719_epingle_stripe_caramel_walnut_a.png?trim=auto&amp;trim-sd=1&amp;blend-mode=darken&amp;blend=f8f8f8&amp;bg=f8f8f8&amp;auto=format&amp;w=2400&amp;q=100&amp;h=2400,https://images.hermanmiller.group/asset/db06cfdf-816a-4b6c-b9f4-43bb943c06b7/W/DWR_2544155_100661719_epingle_stripe_caramel_walnut_p.png?trim=auto&amp;trim-sd=1&amp;blend-mode=darken&amp;blend=f8f8f8&amp;bg=f8f8f8&amp;auto=format&amp;w=2400&amp;q=100&amp;h=2400,https://images.hermanmiller.group/asset/97771622-384b-4a70-bee8-14fbceb74c3a/W/DWR_2544155_100661719_epingle_stripe_caramel_walnut_b.png?trim=auto&amp;trim-sd=1&amp;blend-mode=darken&amp;blend=f8f8f8&amp;bg=f8f8f8&amp;auto=format&amp;w=2400&amp;q=100&amp;h=2400,https://images.hermanmiller.group/asset/e9781e30-851a-4532-802c-70eea0ace39b/W/DWR_2544155_100661719_epingle_stripe_caramel_walnut_d.png?trim=auto&amp;trim-sd=1&amp;blend-mode=darken&amp;blend=f8f8f8&amp;bg=f8f8f8&amp;auto=format&amp;w=2400&amp;q=100&amp;h=2400" TargetMode="External"/><Relationship Id="rId85" Type="http://schemas.openxmlformats.org/officeDocument/2006/relationships/hyperlink" Target="https://images.hermanmiller.group/m/4f8628d083dd81a3/W-sw_maharam_beck_033_retrospect.png%20https:/images.hermanmiller.group/m/68d3871517d8eb26/W-sw_HM_white_oak.png" TargetMode="External"/><Relationship Id="rId12" Type="http://schemas.openxmlformats.org/officeDocument/2006/relationships/hyperlink" Target="https://images.hermanmiller.group/m/173d3295839e5744/W-8439_COLOR_sand.png" TargetMode="External"/><Relationship Id="rId17" Type="http://schemas.openxmlformats.org/officeDocument/2006/relationships/hyperlink" Target="https://images.hermanmiller.group/m/dc80b56311cfb48a/W-MTO_2518291_100177257_sand_f.png?trim=auto&amp;trim-sd=1&amp;blend-mode=darken&amp;blend=f8f8f8&amp;bg=f8f8f8&amp;auto=format&amp;w=2400&amp;q=100&amp;h=2400,https://images.hermanmiller.group/m/9b55acb44cc3c7f7/W-MTO_2518291_100177257_sand_a.png?trim=auto&amp;trim-sd=1&amp;blend-mode=darken&amp;blend=f8f8f8&amp;bg=f8f8f8&amp;auto=format&amp;w=2400&amp;q=100&amp;h=2400" TargetMode="External"/><Relationship Id="rId25" Type="http://schemas.openxmlformats.org/officeDocument/2006/relationships/hyperlink" Target="https://images.hermanmiller.group/m/5e978bf5e57db663/W-sw_mode_saltwater_jetty.png" TargetMode="External"/><Relationship Id="rId33" Type="http://schemas.openxmlformats.org/officeDocument/2006/relationships/hyperlink" Target="https://images.hermanmiller.group/asset/8a96c80e-4caa-40de-bdf3-31dd9694aa1d/W/DWR_2589120_100642342_walnut_f.png?trim=auto&amp;trim-sd=1&amp;blend-mode=darken&amp;blend=f8f8f8&amp;bg=f8f8f8&amp;auto=format&amp;w=2400&amp;q=100&amp;h=2400,https://images.hermanmiller.group/asset/bf31519d-dec2-42b7-b495-9bc88af46a60/W/DWR_2589120_100642342_walnut_f.png?trim=auto&amp;trim-sd=1&amp;blend-mode=darken&amp;blend=f8f8f8&amp;bg=f8f8f8&amp;auto=format&amp;w=2400&amp;q=100&amp;h=2400,https://images.hermanmiller.group/asset/74f6894f-4efe-4de7-a2b1-8bc5df400ab4/W/DWR_2589120_100642342_walnut_a.png?trim=auto&amp;trim-sd=1&amp;blend-mode=darken&amp;blend=f8f8f8&amp;bg=f8f8f8&amp;auto=format&amp;w=2400&amp;q=100&amp;h=2400,https://images.hermanmiller.group/asset/d50fddbd-ebbe-4f94-97af-6e6de7a7f479/W/DWR_2589120_100642342_walnut_d4.png?trim=auto&amp;trim-sd=1&amp;blend-mode=darken&amp;blend=f8f8f8&amp;bg=f8f8f8&amp;auto=format&amp;w=2400&amp;q=100&amp;h=2400,https://images.hermanmiller.group/asset/2136b14e-6b8b-46ce-a532-577e723d3bb8/W/DWR_2589120_100642342_walnut_d5.png?trim=auto&amp;trim-sd=1&amp;blend-mode=darken&amp;blend=f8f8f8&amp;bg=f8f8f8&amp;auto=format&amp;w=2400&amp;q=100&amp;h=2400,https://images.hermanmiller.group/asset/8899d274-3f74-4f41-af93-a9ef5ddf3af3/W/DWR_2589120_100642342_walnut_d2.png?trim=auto&amp;trim-sd=1&amp;blend-mode=darken&amp;blend=f8f8f8&amp;bg=f8f8f8&amp;auto=format&amp;w=2400&amp;q=100&amp;h=2400,https://images.hermanmiller.group/asset/907ab5ea-c304-4e19-829d-6bdbc9ea7818/W/DWR_2589120_100642342_walnut_d3.png?trim=auto&amp;trim-sd=1&amp;blend-mode=darken&amp;blend=f8f8f8&amp;bg=f8f8f8&amp;auto=format&amp;w=2400&amp;q=100&amp;h=2400,https://images.hermanmiller.group/asset/a68e6e22-5da6-4525-9d62-3018e9e0553d/W/DWR_2589120_100642342_walnut_d.png?trim=auto&amp;trim-sd=1&amp;blend-mode=darken&amp;blend=f8f8f8&amp;bg=f8f8f8&amp;auto=format&amp;w=2400&amp;q=100&amp;h=2400" TargetMode="External"/><Relationship Id="rId38" Type="http://schemas.openxmlformats.org/officeDocument/2006/relationships/hyperlink" Target="https://images.hermanmiller.group/m/1744a6757a8da458/W-sw_fritz_hansen_colored_ash_light_grey.png" TargetMode="External"/><Relationship Id="rId46" Type="http://schemas.openxmlformats.org/officeDocument/2006/relationships/hyperlink" Target="https://images.hermanmiller.group/m/7081d14d60736670/W-SW_Mode_Clavicle_Remix_242_Birch.png%20https:/images.hermanmiller.group/m/32515d299e7068bf/W-W-sw_generic_walnut.png" TargetMode="External"/><Relationship Id="rId59" Type="http://schemas.openxmlformats.org/officeDocument/2006/relationships/hyperlink" Target="https://www.dwr.com/100072864.html" TargetMode="External"/><Relationship Id="rId67" Type="http://schemas.openxmlformats.org/officeDocument/2006/relationships/hyperlink" Target="https://www.dwr.com/100559774.html" TargetMode="External"/><Relationship Id="rId103" Type="http://schemas.openxmlformats.org/officeDocument/2006/relationships/hyperlink" Target="https://www.dwr.com/100657244.html" TargetMode="External"/><Relationship Id="rId20" Type="http://schemas.openxmlformats.org/officeDocument/2006/relationships/hyperlink" Target="https://images.hermanmiller.group/m/0ecccd612804f38a/W-DWR_2555542_100538043_lioness_rust_f.png?trim=auto&amp;trim-sd=1&amp;blend-mode=darken&amp;blend=f8f8f8&amp;bg=f8f8f8&amp;auto=format&amp;w=2400&amp;q=100&amp;h=2400,https://images.hermanmiller.group/m/cbab7bd0dd5ac09f/W-DWR_2555542_100538043_lioness_rust_b.png?trim=auto&amp;trim-sd=1&amp;blend-mode=darken&amp;blend=f8f8f8&amp;bg=f8f8f8&amp;auto=format&amp;w=2400&amp;q=100&amp;h=2400" TargetMode="External"/><Relationship Id="rId41" Type="http://schemas.openxmlformats.org/officeDocument/2006/relationships/hyperlink" Target="https://images.hermanmiller.group/m/7d6cd08f79cc3093/W-W-COLOR_divina_691_mauve_remix_692_plum.png%20https:/images.hermanmiller.group/m/32515d299e7068bf/W-W-sw_generic_walnut.png" TargetMode="External"/><Relationship Id="rId54" Type="http://schemas.openxmlformats.org/officeDocument/2006/relationships/hyperlink" Target="https://images.hermanmiller.group/asset/2d1f0cb7-20df-444f-a7e3-13c148242151/W/DWR_2585681_100608415_stone_blue_f.png?trim=auto&amp;trim-sd=1&amp;blend-mode=darken&amp;blend=f8f8f8&amp;bg=f8f8f8&amp;auto=format&amp;w=2400&amp;q=100&amp;h=2400" TargetMode="External"/><Relationship Id="rId62" Type="http://schemas.openxmlformats.org/officeDocument/2006/relationships/hyperlink" Target="https://images.hermanmiller.group/m/64d64d767043b383/W-sw_woodard_black_metal-tif.png" TargetMode="External"/><Relationship Id="rId70" Type="http://schemas.openxmlformats.org/officeDocument/2006/relationships/hyperlink" Target="https://images.hermanmiller.group/m/68d3871517d8eb26/W-sw_HM_white_oak.png%20https:/images.hermanmiller.group/m/4f8628d083dd81a3/W-sw_maharam_beck_033_retrospect.png" TargetMode="External"/><Relationship Id="rId75" Type="http://schemas.openxmlformats.org/officeDocument/2006/relationships/hyperlink" Target="https://www.dwr.com/100673417.html" TargetMode="External"/><Relationship Id="rId83" Type="http://schemas.openxmlformats.org/officeDocument/2006/relationships/hyperlink" Target="https://www.dwr.com/100559923.html" TargetMode="External"/><Relationship Id="rId88" Type="http://schemas.openxmlformats.org/officeDocument/2006/relationships/hyperlink" Target="https://images.hermanmiller.group/m/890d3fd15b25dc8c/W-HM_2544056_100559924_retrospect_walnut_f-tif.png?trim=auto&amp;trim-sd=1&amp;blend-mode=darken&amp;blend=f8f8f8&amp;bg=f8f8f8&amp;auto=format&amp;w=2400&amp;q=100&amp;h=2400" TargetMode="External"/><Relationship Id="rId91" Type="http://schemas.openxmlformats.org/officeDocument/2006/relationships/hyperlink" Target="https://www.dwr.com/100578875.html" TargetMode="External"/><Relationship Id="rId96" Type="http://schemas.openxmlformats.org/officeDocument/2006/relationships/hyperlink" Target="https://images.hermanmiller.group/m/f00496b2a80e9e45/W-HM_2544056_100578777_ochre_sienna_walnut_80_f.png?trim=auto&amp;trim-sd=1&amp;blend-mode=darken&amp;blend=f8f8f8&amp;bg=f8f8f8&amp;auto=format&amp;w=2400&amp;q=100&amp;h=2400" TargetMode="External"/><Relationship Id="rId1" Type="http://schemas.openxmlformats.org/officeDocument/2006/relationships/hyperlink" Target="https://www.dwr.com/100596557.html" TargetMode="External"/><Relationship Id="rId6" Type="http://schemas.openxmlformats.org/officeDocument/2006/relationships/hyperlink" Target="https://images.hermanmiller.group/m/33662a910125ad55/W-COLOR_cypress_green.png" TargetMode="External"/><Relationship Id="rId15" Type="http://schemas.openxmlformats.org/officeDocument/2006/relationships/hyperlink" Target="https://images.hermanmiller.group/m/296b847dd49fe7f1/W-sw_muuto_deep-red_color_swatch.png" TargetMode="External"/><Relationship Id="rId23" Type="http://schemas.openxmlformats.org/officeDocument/2006/relationships/hyperlink" Target="https://images.hermanmiller.group/m/5e978bf5e57db663/W-sw_mode_saltwater_jetty.png" TargetMode="External"/><Relationship Id="rId28" Type="http://schemas.openxmlformats.org/officeDocument/2006/relationships/hyperlink" Target="https://images.hermanmiller.group/m/56d878e3152de1ed/W-sw_mode_lioness_rust.png" TargetMode="External"/><Relationship Id="rId36" Type="http://schemas.openxmlformats.org/officeDocument/2006/relationships/hyperlink" Target="https://images.hermanmiller.group/m/acbce1982889e42f/W-DWR_2516240_100168671_light_grey_f.png?trim=auto&amp;trim-sd=1&amp;blend-mode=darken&amp;blend=f8f8f8&amp;bg=f8f8f8&amp;auto=format&amp;w=2400&amp;q=100&amp;h=2400" TargetMode="External"/><Relationship Id="rId49" Type="http://schemas.openxmlformats.org/officeDocument/2006/relationships/hyperlink" Target="https://images.hermanmiller.group/asset/37fef664-13d2-46e3-8926-ac73ec802ce6/W/sw_ameico_mustard.png" TargetMode="External"/><Relationship Id="rId57" Type="http://schemas.openxmlformats.org/officeDocument/2006/relationships/hyperlink" Target="https://images.hermanmiller.group/asset/86c7ab08-d48f-49f4-85b8-10d9bcc4ef2a/W/DWR_2585681_100608512_swim_blue_f1.png?trim=auto&amp;trim-sd=1&amp;blend-mode=darken&amp;blend=f8f8f8&amp;bg=f8f8f8&amp;auto=format&amp;w=2400&amp;q=100&amp;h=2400,https://images.hermanmiller.group/asset/f35a3ef5-c186-492f-b86d-1aee79f7a931/W/DWR_2585681_100608512_swim_blue_f.png?trim=auto&amp;trim-sd=1&amp;blend-mode=darken&amp;blend=f8f8f8&amp;bg=f8f8f8&amp;auto=format&amp;w=2400&amp;q=100&amp;h=2400" TargetMode="External"/><Relationship Id="rId10" Type="http://schemas.openxmlformats.org/officeDocument/2006/relationships/hyperlink" Target="https://images.hermanmiller.group/m/b0e0441bf31edaf9/W-MTO_kink_vase_39_sand_f-tif.png?trim=auto&amp;trim-sd=1&amp;blend-mode=darken&amp;blend=f8f8f8&amp;bg=f8f8f8&amp;auto=format&amp;w=2400&amp;q=100&amp;h=2400,https://images.hermanmiller.group/m/3a99261ca223af9f/W-MTO_kink_vase_39_sand_a-tif.png?trim=auto&amp;trim-sd=1&amp;blend-mode=darken&amp;blend=f8f8f8&amp;bg=f8f8f8&amp;auto=format&amp;w=2400&amp;q=100&amp;h=2400" TargetMode="External"/><Relationship Id="rId31" Type="http://schemas.openxmlformats.org/officeDocument/2006/relationships/hyperlink" Target="https://images.hermanmiller.group/m/1ac2f579d3d7dce1/W-sw_generic_oak.png" TargetMode="External"/><Relationship Id="rId44" Type="http://schemas.openxmlformats.org/officeDocument/2006/relationships/hyperlink" Target="https://images.hermanmiller.group/m/4704d4d3bc253040/W-HAY_2515111_100181152_clavicle_birch_walnut_a.png?trim=auto&amp;trim-sd=1&amp;blend-mode=darken&amp;blend=f8f8f8&amp;bg=f8f8f8&amp;auto=format&amp;w=2400&amp;q=100&amp;h=2400" TargetMode="External"/><Relationship Id="rId52" Type="http://schemas.openxmlformats.org/officeDocument/2006/relationships/hyperlink" Target="https://images.hermanmiller.group/asset/aeb46efd-ce33-4ebd-a966-45f79d8d0abc/W/sw_ameico_signal_green.png" TargetMode="External"/><Relationship Id="rId60" Type="http://schemas.openxmlformats.org/officeDocument/2006/relationships/hyperlink" Target="https://images.hermanmiller.group/m/e8daf7224dcc744c/W-DWR_2195841_100072864_black_f.png?trim=auto&amp;trim-sd=1&amp;blend-mode=darken&amp;blend=f8f8f8&amp;bg=f8f8f8&amp;auto=format&amp;w=2400&amp;q=100&amp;h=2400,https://images.hermanmiller.group/m/5eba0caf9552ca7b/W-DWR_2195841_100072866_red_orange_a.png?trim=auto&amp;trim-sd=1&amp;blend-mode=darken&amp;blend=f8f8f8&amp;bg=f8f8f8&amp;auto=format&amp;w=2400&amp;q=100&amp;h=2400,https://images.hermanmiller.group/m/cd749113b7b28087/W-DWR_2195841_100072864_black_a.png?trim=auto&amp;trim-sd=1&amp;blend-mode=darken&amp;blend=f8f8f8&amp;bg=f8f8f8&amp;auto=format&amp;w=2400&amp;q=100&amp;h=2400,https://images.hermanmiller.group/m/a8d0f219e4aee34b/W-DWR_2195841_100072864_black_p.png?trim=auto&amp;trim-sd=1&amp;blend-mode=darken&amp;blend=f8f8f8&amp;bg=f8f8f8&amp;auto=format&amp;w=2400&amp;q=100&amp;h=2400,https://images.hermanmiller.group/m/b27a6e3fe3d2e42c/W-DWR_2195841_100072864_black_b.png?trim=auto&amp;trim-sd=1&amp;blend-mode=darken&amp;blend=f8f8f8&amp;bg=f8f8f8&amp;auto=format&amp;w=2400&amp;q=100&amp;h=2400" TargetMode="External"/><Relationship Id="rId65" Type="http://schemas.openxmlformats.org/officeDocument/2006/relationships/hyperlink" Target="https://images.hermanmiller.group/m/997eb4a8dbd541c0/W-sw_woodard_white_cushion-tif.png" TargetMode="External"/><Relationship Id="rId73" Type="http://schemas.openxmlformats.org/officeDocument/2006/relationships/hyperlink" Target="https://images.hermanmiller.group/m/4f8628d083dd81a3/W-sw_maharam_beck_033_retrospect.png%20https:/images.hermanmiller.group/m/35da0f08ea0e6d42/W-sw_HM_wood_walnut_veneer_OU.png" TargetMode="External"/><Relationship Id="rId78" Type="http://schemas.openxmlformats.org/officeDocument/2006/relationships/hyperlink" Target="https://images.hermanmiller.group/m/68d3871517d8eb26/W-sw_HM_white_oak.png" TargetMode="External"/><Relationship Id="rId81" Type="http://schemas.openxmlformats.org/officeDocument/2006/relationships/hyperlink" Target="https://images.hermanmiller.group/m/35da0f08ea0e6d42/W-sw_HM_wood_walnut_veneer_OU.png%20https:/images.hermanmiller.group/asset/cd476fd3-09f0-442f-b77a-06e7adcb504b/W/sw_maharam_epingle_stripe_caramel.png" TargetMode="External"/><Relationship Id="rId86" Type="http://schemas.openxmlformats.org/officeDocument/2006/relationships/hyperlink" Target="https://images.hermanmiller.group/m/68d3871517d8eb26/W-sw_HM_white_oak.png%20https:/images.hermanmiller.group/m/4f8628d083dd81a3/W-sw_maharam_beck_033_retrospect.png" TargetMode="External"/><Relationship Id="rId94" Type="http://schemas.openxmlformats.org/officeDocument/2006/relationships/hyperlink" Target="https://images.hermanmiller.group/m/7cbaef9067ae7d09/W-toostripe-ochre-dark-sienna.png%20https:/images.hermanmiller.group/m/68d3871517d8eb26/W-sw_HM_white_oak.png" TargetMode="External"/><Relationship Id="rId99" Type="http://schemas.openxmlformats.org/officeDocument/2006/relationships/hyperlink" Target="https://www.dwr.com/100656809.html" TargetMode="External"/><Relationship Id="rId101" Type="http://schemas.openxmlformats.org/officeDocument/2006/relationships/hyperlink" Target="https://www.dwr.com/100656795.html" TargetMode="External"/><Relationship Id="rId4" Type="http://schemas.openxmlformats.org/officeDocument/2006/relationships/hyperlink" Target="https://www.dwr.com/100596554.html" TargetMode="External"/><Relationship Id="rId9" Type="http://schemas.openxmlformats.org/officeDocument/2006/relationships/hyperlink" Target="https://www.dwr.com/100658330.html" TargetMode="External"/><Relationship Id="rId13" Type="http://schemas.openxmlformats.org/officeDocument/2006/relationships/hyperlink" Target="https://www.dwr.com/100658328.html" TargetMode="External"/><Relationship Id="rId18" Type="http://schemas.openxmlformats.org/officeDocument/2006/relationships/hyperlink" Target="https://images.hermanmiller.group/m/173d3295839e5744/W-8439_COLOR_sand.png" TargetMode="External"/><Relationship Id="rId39" Type="http://schemas.openxmlformats.org/officeDocument/2006/relationships/hyperlink" Target="https://www.dwr.com/100145046.html" TargetMode="External"/><Relationship Id="rId34" Type="http://schemas.openxmlformats.org/officeDocument/2006/relationships/hyperlink" Target="https://images.hermanmiller.group/m/32515d299e7068bf/W-W-sw_generic_walnut.png" TargetMode="External"/><Relationship Id="rId50" Type="http://schemas.openxmlformats.org/officeDocument/2006/relationships/hyperlink" Target="https://www.dwr.com/100608411.html" TargetMode="External"/><Relationship Id="rId55" Type="http://schemas.openxmlformats.org/officeDocument/2006/relationships/hyperlink" Target="https://images.hermanmiller.group/asset/e6d8c3e5-db74-4f99-bd0a-32fd1ce2b3ef/W/sw_ameico_stone_blue.png" TargetMode="External"/><Relationship Id="rId76" Type="http://schemas.openxmlformats.org/officeDocument/2006/relationships/hyperlink" Target="https://images.hermanmiller.group/asset/4c097738-dd7c-4440-b5ff-b600335e169b/W/DWR_2544155_100673417_epingle_stripe_caramel_oak_f.png?trim=auto&amp;trim-sd=1&amp;blend-mode=darken&amp;blend=f8f8f8&amp;bg=f8f8f8&amp;auto=format&amp;w=2400&amp;q=100&amp;h=2400,https://images.hermanmiller.group/asset/2683c102-f481-4edf-aa80-8f58710487f1/W/DWR_2544155_100673417_epingle_stripe_caramel_oak_a.png?trim=auto&amp;trim-sd=1&amp;blend-mode=darken&amp;blend=f8f8f8&amp;bg=f8f8f8&amp;auto=format&amp;w=2400&amp;q=100&amp;h=2400,https://images.hermanmiller.group/asset/268b65d8-f457-4d0f-8825-122477d0c6d3/W/DWR_2544155_100673417_epingle_stripe_caramel_oak_p.png?trim=auto&amp;trim-sd=1&amp;blend-mode=darken&amp;blend=f8f8f8&amp;bg=f8f8f8&amp;auto=format&amp;w=2400&amp;q=100&amp;h=2400,https://images.hermanmiller.group/asset/13667d67-0b5f-41fe-be4c-05912592a821/W/DWR_2544155_100673417_epingle_stripe_caramel_oak_b.png?trim=auto&amp;trim-sd=1&amp;blend-mode=darken&amp;blend=f8f8f8&amp;bg=f8f8f8&amp;auto=format&amp;w=2400&amp;q=100&amp;h=2400,https://images.hermanmiller.group/asset/21bd65b2-54a2-4b9c-9240-4450cb9d785e/W/DWR_2544155_100673417_epingle_stripe_caramel_oak_d.png?trim=auto&amp;trim-sd=1&amp;blend-mode=darken&amp;blend=f8f8f8&amp;bg=f8f8f8&amp;auto=format&amp;w=2400&amp;q=100&amp;h=2400" TargetMode="External"/><Relationship Id="rId97" Type="http://schemas.openxmlformats.org/officeDocument/2006/relationships/hyperlink" Target="https://images.hermanmiller.group/m/7cbaef9067ae7d09/W-toostripe-ochre-dark-sienna.png%20https:/images.hermanmiller.group/m/35da0f08ea0e6d42/W-sw_HM_wood_walnut_veneer_OU.png" TargetMode="External"/><Relationship Id="rId104" Type="http://schemas.openxmlformats.org/officeDocument/2006/relationships/hyperlink" Target="https://images.hermanmiller.group/asset/fe9c66aa-b072-4275-aaec-8fdeba8babaa/W/DWR_2589636_100657244_trope_black_a.png?trim=auto&amp;trim-sd=1&amp;blend-mode=darken&amp;blend=f8f8f8&amp;bg=f8f8f8&amp;auto=format&amp;w=2400&amp;q=100&amp;h=2400" TargetMode="External"/><Relationship Id="rId7" Type="http://schemas.openxmlformats.org/officeDocument/2006/relationships/hyperlink" Target="https://www.dwr.com/655422.html" TargetMode="External"/><Relationship Id="rId71" Type="http://schemas.openxmlformats.org/officeDocument/2006/relationships/hyperlink" Target="https://www.dwr.com/100559775.html" TargetMode="External"/><Relationship Id="rId92" Type="http://schemas.openxmlformats.org/officeDocument/2006/relationships/hyperlink" Target="https://images.hermanmiller.group/m/100476b60c8656fd/W-HM_2544056_100578875_ochre_sienna_oak_80_f.png?trim=auto&amp;trim-sd=1&amp;blend-mode=darken&amp;blend=f8f8f8&amp;bg=f8f8f8&amp;auto=format&amp;w=2400&amp;q=100&amp;h=2400,https://images.hermanmiller.group/m/5444409608714c56/W-HM_2544056_100578875_ochre_sienna_oak_80_a.png?trim=auto&amp;trim-sd=1&amp;blend-mode=darken&amp;blend=f8f8f8&amp;bg=f8f8f8&amp;auto=format&amp;w=2400&amp;q=100&amp;h=2400,https://images.hermanmiller.group/m/0b10a322cf026f25/W-HM_2544056_100578875_ochre_sienna_oak_80_p.png?trim=auto&amp;trim-sd=1&amp;blend-mode=darken&amp;blend=f8f8f8&amp;bg=f8f8f8&amp;auto=format&amp;w=2400&amp;q=100&amp;h=2400,https://images.hermanmiller.group/m/5798afbed744315a/W-HM_2544056_100578875_ochre_sienna_oak_80_b.png?trim=auto&amp;trim-sd=1&amp;blend-mode=darken&amp;blend=f8f8f8&amp;bg=f8f8f8&amp;auto=format&amp;w=2400&amp;q=100&amp;h=2400,https://images.hermanmiller.group/m/26e43b0c5bb14440/W-HM_2544056_100578875_ochre_sienna_oak_80_d1.png?trim=auto&amp;trim-sd=1&amp;blend-mode=darken&amp;blend=f8f8f8&amp;bg=f8f8f8&amp;auto=format&amp;w=2400&amp;q=100&amp;h=2400" TargetMode="External"/><Relationship Id="rId2" Type="http://schemas.openxmlformats.org/officeDocument/2006/relationships/hyperlink" Target="https://images.hermanmiller.group/m/c08be6ee672d709/W-DWR_3773_100596557_bordeaux_f.png?trim=auto&amp;trim-sd=1&amp;blend-mode=darken&amp;blend=f8f8f8&amp;bg=f8f8f8&amp;auto=format&amp;w=2400&amp;q=100&amp;h=2400,https://images.hermanmiller.group/m/5687626852d66cf/W-DWR_3773_100596557_bordeaux_a.png?trim=auto&amp;trim-sd=1&amp;blend-mode=darken&amp;blend=f8f8f8&amp;bg=f8f8f8&amp;auto=format&amp;w=2400&amp;q=100&amp;h=2400,https://images.hermanmiller.group/m/1ed3fc52ddf52fa9/W-DWR_3773_100596557_bordeaux_b.png?trim=auto&amp;trim-sd=1&amp;blend-mode=darken&amp;blend=f8f8f8&amp;bg=f8f8f8&amp;auto=format&amp;w=2400&amp;q=100&amp;h=2400" TargetMode="External"/><Relationship Id="rId29" Type="http://schemas.openxmlformats.org/officeDocument/2006/relationships/hyperlink" Target="https://www.dwr.com/100642343.html" TargetMode="External"/><Relationship Id="rId24" Type="http://schemas.openxmlformats.org/officeDocument/2006/relationships/hyperlink" Target="https://images.hermanmiller.group/m/af48e49dda7b62a0/W-DWR_2555542_100538036_saltwater_eucalyptus_f.png?trim=auto&amp;trim-sd=1&amp;blend-mode=darken&amp;blend=f8f8f8&amp;bg=f8f8f8&amp;auto=format&amp;w=2400&amp;q=100&amp;h=2400,https://images.hermanmiller.group/m/d57874c0ab920d8e/W-DWR_2555542_100538036_saltwater_eucalyptus_b.png?trim=auto&amp;trim-sd=1&amp;blend-mode=darken&amp;blend=f8f8f8&amp;bg=f8f8f8&amp;auto=format&amp;w=2400&amp;q=100&amp;h=2400" TargetMode="External"/><Relationship Id="rId40" Type="http://schemas.openxmlformats.org/officeDocument/2006/relationships/hyperlink" Target="https://images.hermanmiller.group/m/72f3eac1bc0cd041/W-HAY_2515111_100145046_divina_691_remix_692_walnut_f.png?trim=auto&amp;trim-sd=1&amp;blend-mode=darken&amp;blend=f8f8f8&amp;bg=f8f8f8&amp;auto=format&amp;w=2400&amp;q=100&amp;h=2400,https://images.hermanmiller.group/m/e795ddb8c0b91fd9/W-HAY_2515111_100145046_divina_691_remix_692_walnut_a.png?trim=auto&amp;trim-sd=1&amp;blend-mode=darken&amp;blend=f8f8f8&amp;bg=f8f8f8&amp;auto=format&amp;w=2400&amp;q=100&amp;h=2400,https://images.hermanmiller.group/m/b92504418aa1b376/W-HAY_2515111_100145046_divina_691_remix_692_walnut_p.png?trim=auto&amp;trim-sd=1&amp;blend-mode=darken&amp;blend=f8f8f8&amp;bg=f8f8f8&amp;auto=format&amp;w=2400&amp;q=100&amp;h=2400" TargetMode="External"/><Relationship Id="rId45" Type="http://schemas.openxmlformats.org/officeDocument/2006/relationships/hyperlink" Target="https://images.hermanmiller.group/m/7081d14d60736670/W-SW_Mode_Clavicle_Remix_242_Birch.png%20https:/images.hermanmiller.group/m/32515d299e7068bf/W-W-sw_generic_walnut.png" TargetMode="External"/><Relationship Id="rId66" Type="http://schemas.openxmlformats.org/officeDocument/2006/relationships/hyperlink" Target="https://images.hermanmiller.group/m/997eb4a8dbd541c0/W-sw_woodard_white_cushion-tif.png" TargetMode="External"/><Relationship Id="rId87" Type="http://schemas.openxmlformats.org/officeDocument/2006/relationships/hyperlink" Target="https://www.dwr.com/100559924.html" TargetMode="External"/><Relationship Id="rId61" Type="http://schemas.openxmlformats.org/officeDocument/2006/relationships/hyperlink" Target="https://images.hermanmiller.group/m/64d64d767043b383/W-sw_woodard_black_metal-tif.png" TargetMode="External"/><Relationship Id="rId82" Type="http://schemas.openxmlformats.org/officeDocument/2006/relationships/hyperlink" Target="https://images.hermanmiller.group/m/35da0f08ea0e6d42/W-sw_HM_wood_walnut_veneer_OU.png" TargetMode="External"/><Relationship Id="rId19" Type="http://schemas.openxmlformats.org/officeDocument/2006/relationships/hyperlink" Target="https://images.hermanmiller.group/m/173d3295839e5744/W-8439_COLOR_sand.png" TargetMode="External"/><Relationship Id="rId14" Type="http://schemas.openxmlformats.org/officeDocument/2006/relationships/hyperlink" Target="https://images.hermanmiller.group/asset/e9ee858f-1ae1-4073-867a-8e02bf991e7e/W/MTO_Kink_vase_26_deep_red_muuto_hi_res-tif.png?trim=auto&amp;trim-sd=1&amp;blend-mode=darken&amp;blend=f8f8f8&amp;bg=f8f8f8&amp;auto=format&amp;w=2400&amp;q=100&amp;h=2400" TargetMode="External"/><Relationship Id="rId30" Type="http://schemas.openxmlformats.org/officeDocument/2006/relationships/hyperlink" Target="https://images.hermanmiller.group/asset/b67ee476-2c8e-4aee-a6ca-0621b40c8326/W/DWR_2589120_100642343_oak_f.png?trim=auto&amp;trim-sd=1&amp;blend-mode=darken&amp;blend=f8f8f8&amp;bg=f8f8f8&amp;auto=format&amp;w=2400&amp;q=100&amp;h=2400,https://images.hermanmiller.group/asset/c73bc35e-4a9b-469e-9883-a9786d3f9aa6/W/DWR_2589120_100642343_oak_f.png?trim=auto&amp;trim-sd=1&amp;blend-mode=darken&amp;blend=f8f8f8&amp;bg=f8f8f8&amp;auto=format&amp;w=2400&amp;q=100&amp;h=2400,https://images.hermanmiller.group/asset/fe765ab8-6ee9-481d-b47a-f2c7455e9387/W/DWR_2589120_100642343_oak_a.png?trim=auto&amp;trim-sd=1&amp;blend-mode=darken&amp;blend=f8f8f8&amp;bg=f8f8f8&amp;auto=format&amp;w=2400&amp;q=100&amp;h=2400,https://images.hermanmiller.group/asset/89722cce-f5a5-4b15-8fc0-02800a342345/W/DWR_2589120_100642343_oak_d4.png?trim=auto&amp;trim-sd=1&amp;blend-mode=darken&amp;blend=f8f8f8&amp;bg=f8f8f8&amp;auto=format&amp;w=2400&amp;q=100&amp;h=2400,https://images.hermanmiller.group/asset/c7c3edc2-9cae-4a32-96e4-9cef1ab5c658/W/DWR_2589120_100642343_oak_d5.png?trim=auto&amp;trim-sd=1&amp;blend-mode=darken&amp;blend=f8f8f8&amp;bg=f8f8f8&amp;auto=format&amp;w=2400&amp;q=100&amp;h=2400,https://images.hermanmiller.group/asset/b07ff21b-2b4c-4c0f-82ba-ae1dc42e5571/W/DWR_2589120_100642343_oak_d3.png?trim=auto&amp;trim-sd=1&amp;blend-mode=darken&amp;blend=f8f8f8&amp;bg=f8f8f8&amp;auto=format&amp;w=2400&amp;q=100&amp;h=2400,https://images.hermanmiller.group/asset/e0273234-44d1-4e40-bdeb-ad9afcb05d0f/W/DWR_2589120_100642343_oak_d2.png?trim=auto&amp;trim-sd=1&amp;blend-mode=darken&amp;blend=f8f8f8&amp;bg=f8f8f8&amp;auto=format&amp;w=2400&amp;q=100&amp;h=2400,https://images.hermanmiller.group/asset/7d37cced-824a-44e3-a2aa-32d6a8dedb11/W/DWR_2589120_100642343_oak_d6.png?trim=auto&amp;trim-sd=1&amp;blend-mode=darken&amp;blend=f8f8f8&amp;bg=f8f8f8&amp;auto=format&amp;w=2400&amp;q=100&amp;h=2400" TargetMode="External"/><Relationship Id="rId35" Type="http://schemas.openxmlformats.org/officeDocument/2006/relationships/hyperlink" Target="https://www.dwr.com/100168671.html" TargetMode="External"/><Relationship Id="rId56" Type="http://schemas.openxmlformats.org/officeDocument/2006/relationships/hyperlink" Target="https://www.dwr.com/100608512.html" TargetMode="External"/><Relationship Id="rId77" Type="http://schemas.openxmlformats.org/officeDocument/2006/relationships/hyperlink" Target="https://images.hermanmiller.group/m/68d3871517d8eb26/W-sw_HM_white_oak.png%20https:/images.hermanmiller.group/asset/cd476fd3-09f0-442f-b77a-06e7adcb504b/W/sw_maharam_epingle_stripe_caramel.png" TargetMode="External"/><Relationship Id="rId100" Type="http://schemas.openxmlformats.org/officeDocument/2006/relationships/hyperlink" Target="https://images.hermanmiller.group/asset/deacaab0-b80f-44b7-be8e-28df0f625c81/W/DWR_2589635_100656809_trope_black_f.png?trim=auto&amp;trim-sd=1&amp;blend-mode=darken&amp;blend=f8f8f8&amp;bg=f8f8f8&amp;auto=format&amp;w=2400&amp;q=100&amp;h=2400,https://images.hermanmiller.group/asset/f4f84662-2078-4312-bbe8-e916e9f69214/W/DWR_2589635_100656809_trope_black_a.png?trim=auto&amp;trim-sd=1&amp;blend-mode=darken&amp;blend=f8f8f8&amp;bg=f8f8f8&amp;auto=format&amp;w=2400&amp;q=100&amp;h=2400" TargetMode="External"/><Relationship Id="rId8" Type="http://schemas.openxmlformats.org/officeDocument/2006/relationships/hyperlink" Target="https://images.hermanmiller.group/m/24f21fe118703fc3/W-DWR_3845_655422_bronze_f_v4.png?trim=auto&amp;trim-sd=1&amp;blend-mode=darken&amp;blend=f8f8f8&amp;bg=f8f8f8&amp;auto=format&amp;w=2400&amp;q=100&amp;h=2400" TargetMode="External"/><Relationship Id="rId51" Type="http://schemas.openxmlformats.org/officeDocument/2006/relationships/hyperlink" Target="https://images.hermanmiller.group/asset/b84baf40-5c68-427b-923f-25abca0f9116/W/DWR_2585681_100608411_signal_green_f1.png?trim=auto&amp;trim-sd=1&amp;blend-mode=darken&amp;blend=f8f8f8&amp;bg=f8f8f8&amp;auto=format&amp;w=2400&amp;q=100&amp;h=2400,https://images.hermanmiller.group/asset/27f3d383-69d3-46cf-8819-559473cbdadf/W/DWR_2585681_100608411_signal_green_f.png?trim=auto&amp;trim-sd=1&amp;blend-mode=darken&amp;blend=f8f8f8&amp;bg=f8f8f8&amp;auto=format&amp;w=2400&amp;q=100&amp;h=2400" TargetMode="External"/><Relationship Id="rId72" Type="http://schemas.openxmlformats.org/officeDocument/2006/relationships/hyperlink" Target="https://images.hermanmiller.group/m/7ed6c0783088d4bc/W-HM_2544155_100559775_retrospect_walnut_f-tif.png?trim=auto&amp;trim-sd=1&amp;blend-mode=darken&amp;blend=f8f8f8&amp;bg=f8f8f8&amp;auto=format&amp;w=2400&amp;q=100&amp;h=2400" TargetMode="External"/><Relationship Id="rId93" Type="http://schemas.openxmlformats.org/officeDocument/2006/relationships/hyperlink" Target="https://images.hermanmiller.group/m/7cbaef9067ae7d09/W-toostripe-ochre-dark-sienna.png%20https:/images.hermanmiller.group/m/68d3871517d8eb26/W-sw_HM_white_oak.png" TargetMode="External"/><Relationship Id="rId98" Type="http://schemas.openxmlformats.org/officeDocument/2006/relationships/hyperlink" Target="https://images.hermanmiller.group/m/7cbaef9067ae7d09/W-toostripe-ochre-dark-sienna.png%20https:/images.hermanmiller.group/m/35da0f08ea0e6d42/W-sw_HM_wood_walnut_veneer_OU.png" TargetMode="External"/><Relationship Id="rId3" Type="http://schemas.openxmlformats.org/officeDocument/2006/relationships/hyperlink" Target="https://images.hermanmiller.group/m/1b04cb5cd699f245/W-sw_knoll_iseo_bordeaux.png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ges.hermanmiller.group/m/0ecccd612804f38a/W-DWR_2555542_100538043_lioness_rust_f.png?trim=auto&amp;trim-sd=1&amp;blend-mode=darken&amp;blend=f8f8f8&amp;bg=f8f8f8&amp;auto=format&amp;w=2400&amp;q=100&amp;h=2400,https://images.hermanmiller.group/m/cbab7bd0dd5ac09f/W-DWR_2555542_100538043_lioness_rust_b.png?trim=auto&amp;trim-sd=1&amp;blend-mode=darken&amp;blend=f8f8f8&amp;bg=f8f8f8&amp;auto=format&amp;w=2400&amp;q=100&amp;h=2400" TargetMode="External"/><Relationship Id="rId18" Type="http://schemas.openxmlformats.org/officeDocument/2006/relationships/hyperlink" Target="https://www.dwr.com/100642342.html" TargetMode="External"/><Relationship Id="rId26" Type="http://schemas.openxmlformats.org/officeDocument/2006/relationships/hyperlink" Target="https://www.dwr.com/100181152.html" TargetMode="External"/><Relationship Id="rId39" Type="http://schemas.openxmlformats.org/officeDocument/2006/relationships/hyperlink" Target="https://images.hermanmiller.group/m/58464bca885139c3/W-DWR_2195845_100072872_white_f1.png?trim=auto&amp;trim-sd=1&amp;blend-mode=darken&amp;blend=f8f8f8&amp;bg=f8f8f8&amp;auto=format&amp;w=2400&amp;q=100&amp;h=2400,https://images.hermanmiller.group/m/cee549818547c05c/W-DWR_2195845_100072872_white_f.png?trim=auto&amp;trim-sd=1&amp;blend-mode=darken&amp;blend=f8f8f8&amp;bg=f8f8f8&amp;auto=format&amp;w=2400&amp;q=100&amp;h=2400" TargetMode="External"/><Relationship Id="rId21" Type="http://schemas.openxmlformats.org/officeDocument/2006/relationships/hyperlink" Target="https://images.hermanmiller.group/asset/b67ee476-2c8e-4aee-a6ca-0621b40c8326/W/DWR_2589120_100642343_oak_f.png?trim=auto&amp;trim-sd=1&amp;blend-mode=darken&amp;blend=f8f8f8&amp;bg=f8f8f8&amp;auto=format&amp;w=2400&amp;q=100&amp;h=2400,https://images.hermanmiller.group/asset/c73bc35e-4a9b-469e-9883-a9786d3f9aa6/W/DWR_2589120_100642343_oak_f.png?trim=auto&amp;trim-sd=1&amp;blend-mode=darken&amp;blend=f8f8f8&amp;bg=f8f8f8&amp;auto=format&amp;w=2400&amp;q=100&amp;h=2400,https://images.hermanmiller.group/asset/fe765ab8-6ee9-481d-b47a-f2c7455e9387/W/DWR_2589120_100642343_oak_a.png?trim=auto&amp;trim-sd=1&amp;blend-mode=darken&amp;blend=f8f8f8&amp;bg=f8f8f8&amp;auto=format&amp;w=2400&amp;q=100&amp;h=2400,https://images.hermanmiller.group/asset/89722cce-f5a5-4b15-8fc0-02800a342345/W/DWR_2589120_100642343_oak_d4.png?trim=auto&amp;trim-sd=1&amp;blend-mode=darken&amp;blend=f8f8f8&amp;bg=f8f8f8&amp;auto=format&amp;w=2400&amp;q=100&amp;h=2400,https://images.hermanmiller.group/asset/c7c3edc2-9cae-4a32-96e4-9cef1ab5c658/W/DWR_2589120_100642343_oak_d5.png?trim=auto&amp;trim-sd=1&amp;blend-mode=darken&amp;blend=f8f8f8&amp;bg=f8f8f8&amp;auto=format&amp;w=2400&amp;q=100&amp;h=2400,https://images.hermanmiller.group/asset/b07ff21b-2b4c-4c0f-82ba-ae1dc42e5571/W/DWR_2589120_100642343_oak_d3.png?trim=auto&amp;trim-sd=1&amp;blend-mode=darken&amp;blend=f8f8f8&amp;bg=f8f8f8&amp;auto=format&amp;w=2400&amp;q=100&amp;h=2400,https://images.hermanmiller.group/asset/e0273234-44d1-4e40-bdeb-ad9afcb05d0f/W/DWR_2589120_100642343_oak_d2.png?trim=auto&amp;trim-sd=1&amp;blend-mode=darken&amp;blend=f8f8f8&amp;bg=f8f8f8&amp;auto=format&amp;w=2400&amp;q=100&amp;h=2400,https://images.hermanmiller.group/asset/7d37cced-824a-44e3-a2aa-32d6a8dedb11/W/DWR_2589120_100642343_oak_d6.png?trim=auto&amp;trim-sd=1&amp;blend-mode=darken&amp;blend=f8f8f8&amp;bg=f8f8f8&amp;auto=format&amp;w=2400&amp;q=100&amp;h=2400" TargetMode="External"/><Relationship Id="rId34" Type="http://schemas.openxmlformats.org/officeDocument/2006/relationships/hyperlink" Target="https://www.dwr.com/100608512.html" TargetMode="External"/><Relationship Id="rId42" Type="http://schemas.openxmlformats.org/officeDocument/2006/relationships/hyperlink" Target="https://www.dwr.com/100559775.html" TargetMode="External"/><Relationship Id="rId47" Type="http://schemas.openxmlformats.org/officeDocument/2006/relationships/hyperlink" Target="https://images.hermanmiller.group/asset/4c097738-dd7c-4440-b5ff-b600335e169b/W/DWR_2544155_100673417_epingle_stripe_caramel_oak_f.png?trim=auto&amp;trim-sd=1&amp;blend-mode=darken&amp;blend=f8f8f8&amp;bg=f8f8f8&amp;auto=format&amp;w=2400&amp;q=100&amp;h=2400,https://images.hermanmiller.group/asset/2683c102-f481-4edf-aa80-8f58710487f1/W/DWR_2544155_100673417_epingle_stripe_caramel_oak_a.png?trim=auto&amp;trim-sd=1&amp;blend-mode=darken&amp;blend=f8f8f8&amp;bg=f8f8f8&amp;auto=format&amp;w=2400&amp;q=100&amp;h=2400,https://images.hermanmiller.group/asset/268b65d8-f457-4d0f-8825-122477d0c6d3/W/DWR_2544155_100673417_epingle_stripe_caramel_oak_p.png?trim=auto&amp;trim-sd=1&amp;blend-mode=darken&amp;blend=f8f8f8&amp;bg=f8f8f8&amp;auto=format&amp;w=2400&amp;q=100&amp;h=2400,https://images.hermanmiller.group/asset/13667d67-0b5f-41fe-be4c-05912592a821/W/DWR_2544155_100673417_epingle_stripe_caramel_oak_b.png?trim=auto&amp;trim-sd=1&amp;blend-mode=darken&amp;blend=f8f8f8&amp;bg=f8f8f8&amp;auto=format&amp;w=2400&amp;q=100&amp;h=2400,https://images.hermanmiller.group/asset/21bd65b2-54a2-4b9c-9240-4450cb9d785e/W/DWR_2544155_100673417_epingle_stripe_caramel_oak_d.png?trim=auto&amp;trim-sd=1&amp;blend-mode=darken&amp;blend=f8f8f8&amp;bg=f8f8f8&amp;auto=format&amp;w=2400&amp;q=100&amp;h=2400" TargetMode="External"/><Relationship Id="rId50" Type="http://schemas.openxmlformats.org/officeDocument/2006/relationships/hyperlink" Target="https://www.dwr.com/100559924.html" TargetMode="External"/><Relationship Id="rId55" Type="http://schemas.openxmlformats.org/officeDocument/2006/relationships/hyperlink" Target="https://images.hermanmiller.group/m/100476b60c8656fd/W-HM_2544056_100578875_ochre_sienna_oak_80_f.png?trim=auto&amp;trim-sd=1&amp;blend-mode=darken&amp;blend=f8f8f8&amp;bg=f8f8f8&amp;auto=format&amp;w=2400&amp;q=100&amp;h=2400,https://images.hermanmiller.group/m/5444409608714c56/W-HM_2544056_100578875_ochre_sienna_oak_80_a.png?trim=auto&amp;trim-sd=1&amp;blend-mode=darken&amp;blend=f8f8f8&amp;bg=f8f8f8&amp;auto=format&amp;w=2400&amp;q=100&amp;h=2400,https://images.hermanmiller.group/m/0b10a322cf026f25/W-HM_2544056_100578875_ochre_sienna_oak_80_p.png?trim=auto&amp;trim-sd=1&amp;blend-mode=darken&amp;blend=f8f8f8&amp;bg=f8f8f8&amp;auto=format&amp;w=2400&amp;q=100&amp;h=2400,https://images.hermanmiller.group/m/5798afbed744315a/W-HM_2544056_100578875_ochre_sienna_oak_80_b.png?trim=auto&amp;trim-sd=1&amp;blend-mode=darken&amp;blend=f8f8f8&amp;bg=f8f8f8&amp;auto=format&amp;w=2400&amp;q=100&amp;h=2400,https://images.hermanmiller.group/m/26e43b0c5bb14440/W-HM_2544056_100578875_ochre_sienna_oak_80_d1.png?trim=auto&amp;trim-sd=1&amp;blend-mode=darken&amp;blend=f8f8f8&amp;bg=f8f8f8&amp;auto=format&amp;w=2400&amp;q=100&amp;h=2400" TargetMode="External"/><Relationship Id="rId7" Type="http://schemas.openxmlformats.org/officeDocument/2006/relationships/hyperlink" Target="https://www.dwr.com/100658328.html" TargetMode="External"/><Relationship Id="rId2" Type="http://schemas.openxmlformats.org/officeDocument/2006/relationships/hyperlink" Target="https://images.hermanmiller.group/m/5541f3cb7f4a09b9/W-DWR_3773_100596554_cypress_green_f.png?trim=auto&amp;trim-sd=1&amp;blend-mode=darken&amp;blend=f8f8f8&amp;bg=f8f8f8&amp;auto=format&amp;w=2400&amp;q=100&amp;h=2400,https://images.hermanmiller.group/m/17aa88738929f830/W-DWR_3773_100596554_cypress_green_a.png?trim=auto&amp;trim-sd=1&amp;blend-mode=darken&amp;blend=f8f8f8&amp;bg=f8f8f8&amp;auto=format&amp;w=2400&amp;q=100&amp;h=2400" TargetMode="External"/><Relationship Id="rId16" Type="http://schemas.openxmlformats.org/officeDocument/2006/relationships/hyperlink" Target="https://www.dwr.com/100538040.html" TargetMode="External"/><Relationship Id="rId29" Type="http://schemas.openxmlformats.org/officeDocument/2006/relationships/hyperlink" Target="https://images.hermanmiller.group/asset/b84baf40-5c68-427b-923f-25abca0f9116/W/DWR_2585681_100608411_signal_green_f1.png?trim=auto&amp;trim-sd=1&amp;blend-mode=darken&amp;blend=f8f8f8&amp;bg=f8f8f8&amp;auto=format&amp;w=2400&amp;q=100&amp;h=2400,https://images.hermanmiller.group/asset/27f3d383-69d3-46cf-8819-559473cbdadf/W/DWR_2585681_100608411_signal_green_f.png?trim=auto&amp;trim-sd=1&amp;blend-mode=darken&amp;blend=f8f8f8&amp;bg=f8f8f8&amp;auto=format&amp;w=2400&amp;q=100&amp;h=2400" TargetMode="External"/><Relationship Id="rId11" Type="http://schemas.openxmlformats.org/officeDocument/2006/relationships/hyperlink" Target="https://www.dwr.com/100177257.html" TargetMode="External"/><Relationship Id="rId24" Type="http://schemas.openxmlformats.org/officeDocument/2006/relationships/hyperlink" Target="https://www.dwr.com/100145046.html" TargetMode="External"/><Relationship Id="rId32" Type="http://schemas.openxmlformats.org/officeDocument/2006/relationships/hyperlink" Target="https://www.dwr.com/100608415.html" TargetMode="External"/><Relationship Id="rId37" Type="http://schemas.openxmlformats.org/officeDocument/2006/relationships/hyperlink" Target="https://images.hermanmiller.group/m/e8daf7224dcc744c/W-DWR_2195841_100072864_black_f.png?trim=auto&amp;trim-sd=1&amp;blend-mode=darken&amp;blend=f8f8f8&amp;bg=f8f8f8&amp;auto=format&amp;w=2400&amp;q=100&amp;h=2400,https://images.hermanmiller.group/m/5eba0caf9552ca7b/W-DWR_2195841_100072866_red_orange_a.png?trim=auto&amp;trim-sd=1&amp;blend-mode=darken&amp;blend=f8f8f8&amp;bg=f8f8f8&amp;auto=format&amp;w=2400&amp;q=100&amp;h=2400,https://images.hermanmiller.group/m/cd749113b7b28087/W-DWR_2195841_100072864_black_a.png?trim=auto&amp;trim-sd=1&amp;blend-mode=darken&amp;blend=f8f8f8&amp;bg=f8f8f8&amp;auto=format&amp;w=2400&amp;q=100&amp;h=2400,https://images.hermanmiller.group/m/a8d0f219e4aee34b/W-DWR_2195841_100072864_black_p.png?trim=auto&amp;trim-sd=1&amp;blend-mode=darken&amp;blend=f8f8f8&amp;bg=f8f8f8&amp;auto=format&amp;w=2400&amp;q=100&amp;h=2400,https://images.hermanmiller.group/m/b27a6e3fe3d2e42c/W-DWR_2195841_100072864_black_b.png?trim=auto&amp;trim-sd=1&amp;blend-mode=darken&amp;blend=f8f8f8&amp;bg=f8f8f8&amp;auto=format&amp;w=2400&amp;q=100&amp;h=2400" TargetMode="External"/><Relationship Id="rId40" Type="http://schemas.openxmlformats.org/officeDocument/2006/relationships/hyperlink" Target="https://www.dwr.com/100559774.html" TargetMode="External"/><Relationship Id="rId45" Type="http://schemas.openxmlformats.org/officeDocument/2006/relationships/hyperlink" Target="https://images.hermanmiller.group/asset/c429b71a-e7a2-4001-ad58-b896adb95e2d/W/DWR_2544155_100661719_epingle_stripe_caramel_walnut_f.png?trim=auto&amp;trim-sd=1&amp;blend-mode=darken&amp;blend=f8f8f8&amp;bg=f8f8f8&amp;auto=format&amp;w=2400&amp;q=100&amp;h=2400,https://images.hermanmiller.group/asset/9ca69728-dfaa-4704-9f57-bd0fb1427fc8/W/DWR_2544155_100661719_epingle_stripe_caramel_walnut_a.png?trim=auto&amp;trim-sd=1&amp;blend-mode=darken&amp;blend=f8f8f8&amp;bg=f8f8f8&amp;auto=format&amp;w=2400&amp;q=100&amp;h=2400,https://images.hermanmiller.group/asset/db06cfdf-816a-4b6c-b9f4-43bb943c06b7/W/DWR_2544155_100661719_epingle_stripe_caramel_walnut_p.png?trim=auto&amp;trim-sd=1&amp;blend-mode=darken&amp;blend=f8f8f8&amp;bg=f8f8f8&amp;auto=format&amp;w=2400&amp;q=100&amp;h=2400,https://images.hermanmiller.group/asset/97771622-384b-4a70-bee8-14fbceb74c3a/W/DWR_2544155_100661719_epingle_stripe_caramel_walnut_b.png?trim=auto&amp;trim-sd=1&amp;blend-mode=darken&amp;blend=f8f8f8&amp;bg=f8f8f8&amp;auto=format&amp;w=2400&amp;q=100&amp;h=2400,https://images.hermanmiller.group/asset/e9781e30-851a-4532-802c-70eea0ace39b/W/DWR_2544155_100661719_epingle_stripe_caramel_walnut_d.png?trim=auto&amp;trim-sd=1&amp;blend-mode=darken&amp;blend=f8f8f8&amp;bg=f8f8f8&amp;auto=format&amp;w=2400&amp;q=100&amp;h=2400" TargetMode="External"/><Relationship Id="rId53" Type="http://schemas.openxmlformats.org/officeDocument/2006/relationships/hyperlink" Target="https://images.hermanmiller.group/m/f00496b2a80e9e45/W-HM_2544056_100578777_ochre_sienna_walnut_80_f.png?trim=auto&amp;trim-sd=1&amp;blend-mode=darken&amp;blend=f8f8f8&amp;bg=f8f8f8&amp;auto=format&amp;w=2400&amp;q=100&amp;h=2400" TargetMode="External"/><Relationship Id="rId58" Type="http://schemas.openxmlformats.org/officeDocument/2006/relationships/hyperlink" Target="https://www.dwr.com/100656795.html" TargetMode="External"/><Relationship Id="rId5" Type="http://schemas.openxmlformats.org/officeDocument/2006/relationships/hyperlink" Target="https://www.dwr.com/655422.html" TargetMode="External"/><Relationship Id="rId61" Type="http://schemas.openxmlformats.org/officeDocument/2006/relationships/hyperlink" Target="https://images.hermanmiller.group/asset/fe9c66aa-b072-4275-aaec-8fdeba8babaa/W/DWR_2589636_100657244_trope_black_a.png?trim=auto&amp;trim-sd=1&amp;blend-mode=darken&amp;blend=f8f8f8&amp;bg=f8f8f8&amp;auto=format&amp;w=2400&amp;q=100&amp;h=2400" TargetMode="External"/><Relationship Id="rId19" Type="http://schemas.openxmlformats.org/officeDocument/2006/relationships/hyperlink" Target="https://images.hermanmiller.group/asset/8a96c80e-4caa-40de-bdf3-31dd9694aa1d/W/DWR_2589120_100642342_walnut_f.png?trim=auto&amp;trim-sd=1&amp;blend-mode=darken&amp;blend=f8f8f8&amp;bg=f8f8f8&amp;auto=format&amp;w=2400&amp;q=100&amp;h=2400,https://images.hermanmiller.group/asset/bf31519d-dec2-42b7-b495-9bc88af46a60/W/DWR_2589120_100642342_walnut_f.png?trim=auto&amp;trim-sd=1&amp;blend-mode=darken&amp;blend=f8f8f8&amp;bg=f8f8f8&amp;auto=format&amp;w=2400&amp;q=100&amp;h=2400,https://images.hermanmiller.group/asset/74f6894f-4efe-4de7-a2b1-8bc5df400ab4/W/DWR_2589120_100642342_walnut_a.png?trim=auto&amp;trim-sd=1&amp;blend-mode=darken&amp;blend=f8f8f8&amp;bg=f8f8f8&amp;auto=format&amp;w=2400&amp;q=100&amp;h=2400,https://images.hermanmiller.group/asset/d50fddbd-ebbe-4f94-97af-6e6de7a7f479/W/DWR_2589120_100642342_walnut_d4.png?trim=auto&amp;trim-sd=1&amp;blend-mode=darken&amp;blend=f8f8f8&amp;bg=f8f8f8&amp;auto=format&amp;w=2400&amp;q=100&amp;h=2400,https://images.hermanmiller.group/asset/2136b14e-6b8b-46ce-a532-577e723d3bb8/W/DWR_2589120_100642342_walnut_d5.png?trim=auto&amp;trim-sd=1&amp;blend-mode=darken&amp;blend=f8f8f8&amp;bg=f8f8f8&amp;auto=format&amp;w=2400&amp;q=100&amp;h=2400,https://images.hermanmiller.group/asset/8899d274-3f74-4f41-af93-a9ef5ddf3af3/W/DWR_2589120_100642342_walnut_d2.png?trim=auto&amp;trim-sd=1&amp;blend-mode=darken&amp;blend=f8f8f8&amp;bg=f8f8f8&amp;auto=format&amp;w=2400&amp;q=100&amp;h=2400,https://images.hermanmiller.group/asset/907ab5ea-c304-4e19-829d-6bdbc9ea7818/W/DWR_2589120_100642342_walnut_d3.png?trim=auto&amp;trim-sd=1&amp;blend-mode=darken&amp;blend=f8f8f8&amp;bg=f8f8f8&amp;auto=format&amp;w=2400&amp;q=100&amp;h=2400,https://images.hermanmiller.group/asset/a68e6e22-5da6-4525-9d62-3018e9e0553d/W/DWR_2589120_100642342_walnut_d.png?trim=auto&amp;trim-sd=1&amp;blend-mode=darken&amp;blend=f8f8f8&amp;bg=f8f8f8&amp;auto=format&amp;w=2400&amp;q=100&amp;h=2400" TargetMode="External"/><Relationship Id="rId14" Type="http://schemas.openxmlformats.org/officeDocument/2006/relationships/hyperlink" Target="https://images.hermanmiller.group/m/af48e49dda7b62a0/W-DWR_2555542_100538036_saltwater_eucalyptus_f.png?trim=auto&amp;trim-sd=1&amp;blend-mode=darken&amp;blend=f8f8f8&amp;bg=f8f8f8&amp;auto=format&amp;w=2400&amp;q=100&amp;h=2400,https://images.hermanmiller.group/m/d57874c0ab920d8e/W-DWR_2555542_100538036_saltwater_eucalyptus_b.png?trim=auto&amp;trim-sd=1&amp;blend-mode=darken&amp;blend=f8f8f8&amp;bg=f8f8f8&amp;auto=format&amp;w=2400&amp;q=100&amp;h=2400" TargetMode="External"/><Relationship Id="rId22" Type="http://schemas.openxmlformats.org/officeDocument/2006/relationships/hyperlink" Target="https://www.dwr.com/100168671.html" TargetMode="External"/><Relationship Id="rId27" Type="http://schemas.openxmlformats.org/officeDocument/2006/relationships/hyperlink" Target="https://images.hermanmiller.group/m/4704d4d3bc253040/W-HAY_2515111_100181152_clavicle_birch_walnut_a.png?trim=auto&amp;trim-sd=1&amp;blend-mode=darken&amp;blend=f8f8f8&amp;bg=f8f8f8&amp;auto=format&amp;w=2400&amp;q=100&amp;h=2400" TargetMode="External"/><Relationship Id="rId30" Type="http://schemas.openxmlformats.org/officeDocument/2006/relationships/hyperlink" Target="https://www.dwr.com/100608414.html" TargetMode="External"/><Relationship Id="rId35" Type="http://schemas.openxmlformats.org/officeDocument/2006/relationships/hyperlink" Target="https://images.hermanmiller.group/asset/86c7ab08-d48f-49f4-85b8-10d9bcc4ef2a/W/DWR_2585681_100608512_swim_blue_f1.png?trim=auto&amp;trim-sd=1&amp;blend-mode=darken&amp;blend=f8f8f8&amp;bg=f8f8f8&amp;auto=format&amp;w=2400&amp;q=100&amp;h=2400,https://images.hermanmiller.group/asset/f35a3ef5-c186-492f-b86d-1aee79f7a931/W/DWR_2585681_100608512_swim_blue_f.png?trim=auto&amp;trim-sd=1&amp;blend-mode=darken&amp;blend=f8f8f8&amp;bg=f8f8f8&amp;auto=format&amp;w=2400&amp;q=100&amp;h=2400" TargetMode="External"/><Relationship Id="rId43" Type="http://schemas.openxmlformats.org/officeDocument/2006/relationships/hyperlink" Target="https://images.hermanmiller.group/m/7ed6c0783088d4bc/W-HM_2544155_100559775_retrospect_walnut_f-tif.png?trim=auto&amp;trim-sd=1&amp;blend-mode=darken&amp;blend=f8f8f8&amp;bg=f8f8f8&amp;auto=format&amp;w=2400&amp;q=100&amp;h=2400" TargetMode="External"/><Relationship Id="rId48" Type="http://schemas.openxmlformats.org/officeDocument/2006/relationships/hyperlink" Target="https://www.dwr.com/100559923.html" TargetMode="External"/><Relationship Id="rId56" Type="http://schemas.openxmlformats.org/officeDocument/2006/relationships/hyperlink" Target="https://www.dwr.com/100656809.html" TargetMode="External"/><Relationship Id="rId8" Type="http://schemas.openxmlformats.org/officeDocument/2006/relationships/hyperlink" Target="https://images.hermanmiller.group/asset/e9ee858f-1ae1-4073-867a-8e02bf991e7e/W/MTO_Kink_vase_26_deep_red_muuto_hi_res-tif.png?trim=auto&amp;trim-sd=1&amp;blend-mode=darken&amp;blend=f8f8f8&amp;bg=f8f8f8&amp;auto=format&amp;w=2400&amp;q=100&amp;h=2400" TargetMode="External"/><Relationship Id="rId51" Type="http://schemas.openxmlformats.org/officeDocument/2006/relationships/hyperlink" Target="https://images.hermanmiller.group/m/890d3fd15b25dc8c/W-HM_2544056_100559924_retrospect_walnut_f-tif.png?trim=auto&amp;trim-sd=1&amp;blend-mode=darken&amp;blend=f8f8f8&amp;bg=f8f8f8&amp;auto=format&amp;w=2400&amp;q=100&amp;h=2400" TargetMode="External"/><Relationship Id="rId3" Type="http://schemas.openxmlformats.org/officeDocument/2006/relationships/hyperlink" Target="https://www.dwr.com/100596557.html" TargetMode="External"/><Relationship Id="rId12" Type="http://schemas.openxmlformats.org/officeDocument/2006/relationships/hyperlink" Target="https://images.hermanmiller.group/m/dc80b56311cfb48a/W-MTO_2518291_100177257_sand_f.png?trim=auto&amp;trim-sd=1&amp;blend-mode=darken&amp;blend=f8f8f8&amp;bg=f8f8f8&amp;auto=format&amp;w=2400&amp;q=100&amp;h=2400,https://images.hermanmiller.group/m/9b55acb44cc3c7f7/W-MTO_2518291_100177257_sand_a.png?trim=auto&amp;trim-sd=1&amp;blend-mode=darken&amp;blend=f8f8f8&amp;bg=f8f8f8&amp;auto=format&amp;w=2400&amp;q=100&amp;h=2400" TargetMode="External"/><Relationship Id="rId17" Type="http://schemas.openxmlformats.org/officeDocument/2006/relationships/hyperlink" Target="https://images.hermanmiller.group/m/52b7d81d68bcea54/W-DWR_2555542_100538037_lioness_rust_f.png?trim=auto&amp;trim-sd=1&amp;blend-mode=darken&amp;blend=f8f8f8&amp;bg=f8f8f8&amp;auto=format&amp;w=2400&amp;q=100&amp;h=2400,https://images.hermanmiller.group/m/97a874afda34b955/W-DWR_2555542_100538037_lioness_rust_b.png?trim=auto&amp;trim-sd=1&amp;blend-mode=darken&amp;blend=f8f8f8&amp;bg=f8f8f8&amp;auto=format&amp;w=2400&amp;q=100&amp;h=2400" TargetMode="External"/><Relationship Id="rId25" Type="http://schemas.openxmlformats.org/officeDocument/2006/relationships/hyperlink" Target="https://images.hermanmiller.group/m/72f3eac1bc0cd041/W-HAY_2515111_100145046_divina_691_remix_692_walnut_f.png?trim=auto&amp;trim-sd=1&amp;blend-mode=darken&amp;blend=f8f8f8&amp;bg=f8f8f8&amp;auto=format&amp;w=2400&amp;q=100&amp;h=2400,https://images.hermanmiller.group/m/e795ddb8c0b91fd9/W-HAY_2515111_100145046_divina_691_remix_692_walnut_a.png?trim=auto&amp;trim-sd=1&amp;blend-mode=darken&amp;blend=f8f8f8&amp;bg=f8f8f8&amp;auto=format&amp;w=2400&amp;q=100&amp;h=2400,https://images.hermanmiller.group/m/b92504418aa1b376/W-HAY_2515111_100145046_divina_691_remix_692_walnut_p.png?trim=auto&amp;trim-sd=1&amp;blend-mode=darken&amp;blend=f8f8f8&amp;bg=f8f8f8&amp;auto=format&amp;w=2400&amp;q=100&amp;h=2400" TargetMode="External"/><Relationship Id="rId33" Type="http://schemas.openxmlformats.org/officeDocument/2006/relationships/hyperlink" Target="https://images.hermanmiller.group/asset/2d1f0cb7-20df-444f-a7e3-13c148242151/W/DWR_2585681_100608415_stone_blue_f.png?trim=auto&amp;trim-sd=1&amp;blend-mode=darken&amp;blend=f8f8f8&amp;bg=f8f8f8&amp;auto=format&amp;w=2400&amp;q=100&amp;h=2400" TargetMode="External"/><Relationship Id="rId38" Type="http://schemas.openxmlformats.org/officeDocument/2006/relationships/hyperlink" Target="https://www.dwr.com/100072872.html" TargetMode="External"/><Relationship Id="rId46" Type="http://schemas.openxmlformats.org/officeDocument/2006/relationships/hyperlink" Target="https://www.dwr.com/100673417.html" TargetMode="External"/><Relationship Id="rId59" Type="http://schemas.openxmlformats.org/officeDocument/2006/relationships/hyperlink" Target="https://images.hermanmiller.group/asset/1dbecaca-d9a2-4094-bc49-7142a459f164/W/DWR_2589634_100656795_trope_black_a.png?trim=auto&amp;trim-sd=1&amp;blend-mode=darken&amp;blend=f8f8f8&amp;bg=f8f8f8&amp;auto=format&amp;w=2400&amp;q=100&amp;h=2400,https://images.hermanmiller.group/asset/87463b5a-f1fe-400d-9f4a-b51cddfb3464/W/DWR_2589634_100656795_trope_black_f.png?trim=auto&amp;trim-sd=1&amp;blend-mode=darken&amp;blend=f8f8f8&amp;bg=f8f8f8&amp;auto=format&amp;w=2400&amp;q=100&amp;h=2400" TargetMode="External"/><Relationship Id="rId20" Type="http://schemas.openxmlformats.org/officeDocument/2006/relationships/hyperlink" Target="https://www.dwr.com/100642343.html" TargetMode="External"/><Relationship Id="rId41" Type="http://schemas.openxmlformats.org/officeDocument/2006/relationships/hyperlink" Target="https://images.hermanmiller.group/m/42e89e0d414ecdff/W-HM_2544155_100559774_retrospect_oak_f-tif.png?trim=auto&amp;trim-sd=1&amp;blend-mode=darken&amp;blend=f8f8f8&amp;bg=f8f8f8&amp;auto=format&amp;w=2400&amp;q=100&amp;h=2400" TargetMode="External"/><Relationship Id="rId54" Type="http://schemas.openxmlformats.org/officeDocument/2006/relationships/hyperlink" Target="https://www.dwr.com/100578875.html" TargetMode="External"/><Relationship Id="rId1" Type="http://schemas.openxmlformats.org/officeDocument/2006/relationships/hyperlink" Target="https://www.dwr.com/100596554.html" TargetMode="External"/><Relationship Id="rId6" Type="http://schemas.openxmlformats.org/officeDocument/2006/relationships/hyperlink" Target="https://images.hermanmiller.group/m/24f21fe118703fc3/W-DWR_3845_655422_bronze_f_v4.png?trim=auto&amp;trim-sd=1&amp;blend-mode=darken&amp;blend=f8f8f8&amp;bg=f8f8f8&amp;auto=format&amp;w=2400&amp;q=100&amp;h=2400" TargetMode="External"/><Relationship Id="rId15" Type="http://schemas.openxmlformats.org/officeDocument/2006/relationships/hyperlink" Target="https://images.hermanmiller.group/m/ee96bca4594e25e1/W-DWR_2555542_100538042_saltwater_eucalyptus_f.png?trim=auto&amp;trim-sd=1&amp;blend-mode=darken&amp;blend=f8f8f8&amp;bg=f8f8f8&amp;auto=format&amp;w=2400&amp;q=100&amp;h=2400,https://images.hermanmiller.group/m/a34aaf70bf2bd566/W-DWR_2555542_100538042_saltwater_eucalyptus_b.png?trim=auto&amp;trim-sd=1&amp;blend-mode=darken&amp;blend=f8f8f8&amp;bg=f8f8f8&amp;auto=format&amp;w=2400&amp;q=100&amp;h=2400" TargetMode="External"/><Relationship Id="rId23" Type="http://schemas.openxmlformats.org/officeDocument/2006/relationships/hyperlink" Target="https://images.hermanmiller.group/m/acbce1982889e42f/W-DWR_2516240_100168671_light_grey_f.png?trim=auto&amp;trim-sd=1&amp;blend-mode=darken&amp;blend=f8f8f8&amp;bg=f8f8f8&amp;auto=format&amp;w=2400&amp;q=100&amp;h=2400" TargetMode="External"/><Relationship Id="rId28" Type="http://schemas.openxmlformats.org/officeDocument/2006/relationships/hyperlink" Target="https://www.dwr.com/100608411.html" TargetMode="External"/><Relationship Id="rId36" Type="http://schemas.openxmlformats.org/officeDocument/2006/relationships/hyperlink" Target="https://www.dwr.com/100072864.html" TargetMode="External"/><Relationship Id="rId49" Type="http://schemas.openxmlformats.org/officeDocument/2006/relationships/hyperlink" Target="https://images.hermanmiller.group/m/637128ab0a7830a5/W-HM_2544056_100559923_retrospect_oak_f-tif.png?trim=auto&amp;trim-sd=1&amp;blend-mode=darken&amp;blend=f8f8f8&amp;bg=f8f8f8&amp;auto=format&amp;w=2400&amp;q=100&amp;h=2400" TargetMode="External"/><Relationship Id="rId57" Type="http://schemas.openxmlformats.org/officeDocument/2006/relationships/hyperlink" Target="https://images.hermanmiller.group/asset/deacaab0-b80f-44b7-be8e-28df0f625c81/W/DWR_2589635_100656809_trope_black_f.png?trim=auto&amp;trim-sd=1&amp;blend-mode=darken&amp;blend=f8f8f8&amp;bg=f8f8f8&amp;auto=format&amp;w=2400&amp;q=100&amp;h=2400,https://images.hermanmiller.group/asset/f4f84662-2078-4312-bbe8-e916e9f69214/W/DWR_2589635_100656809_trope_black_a.png?trim=auto&amp;trim-sd=1&amp;blend-mode=darken&amp;blend=f8f8f8&amp;bg=f8f8f8&amp;auto=format&amp;w=2400&amp;q=100&amp;h=2400" TargetMode="External"/><Relationship Id="rId10" Type="http://schemas.openxmlformats.org/officeDocument/2006/relationships/hyperlink" Target="https://images.hermanmiller.group/m/b0e0441bf31edaf9/W-MTO_kink_vase_39_sand_f-tif.png?trim=auto&amp;trim-sd=1&amp;blend-mode=darken&amp;blend=f8f8f8&amp;bg=f8f8f8&amp;auto=format&amp;w=2400&amp;q=100&amp;h=2400,https://images.hermanmiller.group/m/3a99261ca223af9f/W-MTO_kink_vase_39_sand_a-tif.png?trim=auto&amp;trim-sd=1&amp;blend-mode=darken&amp;blend=f8f8f8&amp;bg=f8f8f8&amp;auto=format&amp;w=2400&amp;q=100&amp;h=2400" TargetMode="External"/><Relationship Id="rId31" Type="http://schemas.openxmlformats.org/officeDocument/2006/relationships/hyperlink" Target="https://images.hermanmiller.group/asset/90ca8257-6cbb-414d-8c2c-e25c3f9aea84/W/DWR_2585681_100608414_mustard_f1.png?trim=auto&amp;trim-sd=1&amp;blend-mode=darken&amp;blend=f8f8f8&amp;bg=f8f8f8&amp;auto=format&amp;w=2400&amp;q=100&amp;h=2400,https://images.hermanmiller.group/asset/22461c54-e443-47b9-a102-701b49167fe2/W/DWR_2585681_100608414_mustard_f.png?trim=auto&amp;trim-sd=1&amp;blend-mode=darken&amp;blend=f8f8f8&amp;bg=f8f8f8&amp;auto=format&amp;w=2400&amp;q=100&amp;h=2400" TargetMode="External"/><Relationship Id="rId44" Type="http://schemas.openxmlformats.org/officeDocument/2006/relationships/hyperlink" Target="https://www.dwr.com/100661719.html" TargetMode="External"/><Relationship Id="rId52" Type="http://schemas.openxmlformats.org/officeDocument/2006/relationships/hyperlink" Target="https://www.dwr.com/100578777.html" TargetMode="External"/><Relationship Id="rId60" Type="http://schemas.openxmlformats.org/officeDocument/2006/relationships/hyperlink" Target="https://www.dwr.com/100657244.html" TargetMode="External"/><Relationship Id="rId4" Type="http://schemas.openxmlformats.org/officeDocument/2006/relationships/hyperlink" Target="https://images.hermanmiller.group/m/c08be6ee672d709/W-DWR_3773_100596557_bordeaux_f.png?trim=auto&amp;trim-sd=1&amp;blend-mode=darken&amp;blend=f8f8f8&amp;bg=f8f8f8&amp;auto=format&amp;w=2400&amp;q=100&amp;h=2400,https://images.hermanmiller.group/m/5687626852d66cf/W-DWR_3773_100596557_bordeaux_a.png?trim=auto&amp;trim-sd=1&amp;blend-mode=darken&amp;blend=f8f8f8&amp;bg=f8f8f8&amp;auto=format&amp;w=2400&amp;q=100&amp;h=2400,https://images.hermanmiller.group/m/1ed3fc52ddf52fa9/W-DWR_3773_100596557_bordeaux_b.png?trim=auto&amp;trim-sd=1&amp;blend-mode=darken&amp;blend=f8f8f8&amp;bg=f8f8f8&amp;auto=format&amp;w=2400&amp;q=100&amp;h=2400" TargetMode="External"/><Relationship Id="rId9" Type="http://schemas.openxmlformats.org/officeDocument/2006/relationships/hyperlink" Target="https://www.dwr.com/1006583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89"/>
  <sheetViews>
    <sheetView topLeftCell="V1" workbookViewId="0"/>
  </sheetViews>
  <sheetFormatPr defaultColWidth="12.5703125" defaultRowHeight="15.75" customHeight="1" x14ac:dyDescent="0.2"/>
  <cols>
    <col min="1" max="1" width="9" customWidth="1"/>
    <col min="2" max="2" width="9.42578125" customWidth="1"/>
    <col min="3" max="3" width="51.140625" customWidth="1"/>
    <col min="4" max="4" width="23.42578125" customWidth="1"/>
    <col min="5" max="5" width="22.42578125" customWidth="1"/>
    <col min="6" max="6" width="15.42578125" customWidth="1"/>
    <col min="7" max="7" width="25.42578125" customWidth="1"/>
    <col min="8" max="8" width="28.5703125" customWidth="1"/>
    <col min="9" max="9" width="31.42578125" customWidth="1"/>
    <col min="11" max="11" width="18.85546875" customWidth="1"/>
    <col min="16" max="16" width="14.42578125" customWidth="1"/>
    <col min="20" max="20" width="26" customWidth="1"/>
    <col min="22" max="22" width="168.85546875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4" t="e">
        <f t="shared" ref="A2:A33" ca="1" si="0">HYPERLINK(I2,_xludf.IMAGE(I2))</f>
        <v>#VALUE!</v>
      </c>
      <c r="B2" s="5">
        <v>100596557</v>
      </c>
      <c r="C2" s="5" t="s">
        <v>26</v>
      </c>
      <c r="D2" s="5" t="s">
        <v>27</v>
      </c>
      <c r="E2" s="5" t="s">
        <v>28</v>
      </c>
      <c r="F2" s="5" t="s">
        <v>28</v>
      </c>
      <c r="G2" s="6" t="s">
        <v>29</v>
      </c>
      <c r="H2" s="7" t="s">
        <v>30</v>
      </c>
      <c r="I2" s="8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/>
      <c r="O2" s="5"/>
      <c r="P2" s="5"/>
      <c r="Q2" s="5"/>
      <c r="R2" s="5"/>
      <c r="S2" s="5" t="s">
        <v>36</v>
      </c>
      <c r="T2" s="5" t="s">
        <v>37</v>
      </c>
      <c r="U2" s="5" t="s">
        <v>38</v>
      </c>
      <c r="V2" s="7" t="s">
        <v>39</v>
      </c>
      <c r="W2" s="5"/>
      <c r="X2" s="5"/>
      <c r="Y2" s="5" t="s">
        <v>40</v>
      </c>
      <c r="Z2" s="9">
        <v>45545</v>
      </c>
    </row>
    <row r="3" spans="1:26" x14ac:dyDescent="0.2">
      <c r="A3" s="4" t="e">
        <f t="shared" ca="1" si="0"/>
        <v>#VALUE!</v>
      </c>
      <c r="B3" s="5">
        <v>100596554</v>
      </c>
      <c r="C3" s="5" t="s">
        <v>41</v>
      </c>
      <c r="D3" s="5" t="s">
        <v>27</v>
      </c>
      <c r="E3" s="5" t="s">
        <v>28</v>
      </c>
      <c r="F3" s="5" t="s">
        <v>28</v>
      </c>
      <c r="G3" s="6" t="s">
        <v>29</v>
      </c>
      <c r="H3" s="8" t="s">
        <v>42</v>
      </c>
      <c r="I3" s="10" t="s">
        <v>43</v>
      </c>
      <c r="J3" s="5" t="s">
        <v>32</v>
      </c>
      <c r="K3" s="5" t="s">
        <v>33</v>
      </c>
      <c r="L3" s="5" t="s">
        <v>34</v>
      </c>
      <c r="M3" s="5" t="s">
        <v>44</v>
      </c>
      <c r="N3" s="5"/>
      <c r="O3" s="5"/>
      <c r="P3" s="5"/>
      <c r="Q3" s="5"/>
      <c r="R3" s="5"/>
      <c r="S3" s="5" t="s">
        <v>36</v>
      </c>
      <c r="T3" s="5" t="s">
        <v>37</v>
      </c>
      <c r="U3" s="5" t="s">
        <v>45</v>
      </c>
      <c r="V3" s="7" t="s">
        <v>46</v>
      </c>
      <c r="W3" s="5"/>
      <c r="X3" s="5"/>
      <c r="Y3" s="5" t="s">
        <v>40</v>
      </c>
      <c r="Z3" s="9">
        <v>45545</v>
      </c>
    </row>
    <row r="4" spans="1:26" x14ac:dyDescent="0.2">
      <c r="A4" s="4" t="e">
        <f t="shared" ca="1" si="0"/>
        <v>#NAME?</v>
      </c>
      <c r="B4" s="5">
        <v>655422</v>
      </c>
      <c r="C4" s="5" t="s">
        <v>47</v>
      </c>
      <c r="D4" s="5" t="s">
        <v>48</v>
      </c>
      <c r="E4" s="5" t="s">
        <v>49</v>
      </c>
      <c r="F4" s="5" t="s">
        <v>50</v>
      </c>
      <c r="G4" s="6" t="s">
        <v>51</v>
      </c>
      <c r="H4" s="7" t="s">
        <v>52</v>
      </c>
      <c r="I4" s="10" t="s">
        <v>53</v>
      </c>
      <c r="J4" s="5" t="s">
        <v>54</v>
      </c>
      <c r="K4" s="5" t="s">
        <v>55</v>
      </c>
      <c r="L4" s="5"/>
      <c r="M4" s="5"/>
      <c r="N4" s="5"/>
      <c r="O4" s="5"/>
      <c r="P4" s="5"/>
      <c r="Q4" s="5"/>
      <c r="R4" s="5"/>
      <c r="S4" s="5"/>
      <c r="T4" s="5" t="s">
        <v>56</v>
      </c>
      <c r="U4" s="5" t="s">
        <v>57</v>
      </c>
      <c r="V4" s="5"/>
      <c r="W4" s="5"/>
      <c r="X4" s="5"/>
      <c r="Y4" s="5" t="s">
        <v>58</v>
      </c>
      <c r="Z4" s="9">
        <v>40848</v>
      </c>
    </row>
    <row r="5" spans="1:26" x14ac:dyDescent="0.2">
      <c r="A5" s="4" t="e">
        <f t="shared" ca="1" si="0"/>
        <v>#VALUE!</v>
      </c>
      <c r="B5" s="5">
        <v>100658330</v>
      </c>
      <c r="C5" s="5" t="s">
        <v>59</v>
      </c>
      <c r="D5" s="5" t="s">
        <v>60</v>
      </c>
      <c r="E5" s="5" t="s">
        <v>61</v>
      </c>
      <c r="F5" s="5" t="s">
        <v>62</v>
      </c>
      <c r="G5" s="6" t="s">
        <v>63</v>
      </c>
      <c r="H5" s="7" t="s">
        <v>64</v>
      </c>
      <c r="I5" s="10" t="s">
        <v>65</v>
      </c>
      <c r="J5" s="5" t="s">
        <v>54</v>
      </c>
      <c r="K5" s="5" t="s">
        <v>66</v>
      </c>
      <c r="L5" s="5" t="s">
        <v>34</v>
      </c>
      <c r="M5" s="5" t="s">
        <v>67</v>
      </c>
      <c r="N5" s="5"/>
      <c r="O5" s="5"/>
      <c r="P5" s="5"/>
      <c r="Q5" s="5"/>
      <c r="R5" s="5"/>
      <c r="S5" s="5"/>
      <c r="T5" s="5" t="s">
        <v>68</v>
      </c>
      <c r="U5" s="5" t="s">
        <v>69</v>
      </c>
      <c r="V5" s="7" t="s">
        <v>70</v>
      </c>
      <c r="W5" s="7" t="s">
        <v>70</v>
      </c>
      <c r="X5" s="5" t="s">
        <v>71</v>
      </c>
      <c r="Y5" s="5" t="s">
        <v>58</v>
      </c>
      <c r="Z5" s="11">
        <v>45713</v>
      </c>
    </row>
    <row r="6" spans="1:26" x14ac:dyDescent="0.2">
      <c r="A6" s="4" t="e">
        <f t="shared" ca="1" si="0"/>
        <v>#NAME?</v>
      </c>
      <c r="B6" s="5">
        <v>100658328</v>
      </c>
      <c r="C6" s="5" t="s">
        <v>72</v>
      </c>
      <c r="D6" s="5" t="s">
        <v>60</v>
      </c>
      <c r="E6" s="5" t="s">
        <v>61</v>
      </c>
      <c r="F6" s="5" t="s">
        <v>62</v>
      </c>
      <c r="G6" s="6" t="s">
        <v>63</v>
      </c>
      <c r="H6" s="7" t="s">
        <v>73</v>
      </c>
      <c r="I6" s="10" t="s">
        <v>74</v>
      </c>
      <c r="J6" s="5" t="s">
        <v>54</v>
      </c>
      <c r="K6" s="5" t="s">
        <v>75</v>
      </c>
      <c r="L6" s="5" t="s">
        <v>34</v>
      </c>
      <c r="M6" s="5" t="s">
        <v>76</v>
      </c>
      <c r="N6" s="5"/>
      <c r="O6" s="5"/>
      <c r="P6" s="5"/>
      <c r="Q6" s="5"/>
      <c r="R6" s="5"/>
      <c r="S6" s="5"/>
      <c r="T6" s="5" t="s">
        <v>68</v>
      </c>
      <c r="U6" s="5" t="s">
        <v>77</v>
      </c>
      <c r="V6" s="7" t="s">
        <v>78</v>
      </c>
      <c r="W6" s="5"/>
      <c r="X6" s="5"/>
      <c r="Y6" s="5" t="s">
        <v>58</v>
      </c>
      <c r="Z6" s="11">
        <v>45713</v>
      </c>
    </row>
    <row r="7" spans="1:26" x14ac:dyDescent="0.2">
      <c r="A7" s="4" t="e">
        <f t="shared" ca="1" si="0"/>
        <v>#VALUE!</v>
      </c>
      <c r="B7" s="5">
        <v>100177257</v>
      </c>
      <c r="C7" s="5" t="s">
        <v>79</v>
      </c>
      <c r="D7" s="5" t="s">
        <v>60</v>
      </c>
      <c r="E7" s="5" t="s">
        <v>61</v>
      </c>
      <c r="F7" s="5" t="s">
        <v>62</v>
      </c>
      <c r="G7" s="6" t="s">
        <v>80</v>
      </c>
      <c r="H7" s="7" t="s">
        <v>81</v>
      </c>
      <c r="I7" s="10" t="s">
        <v>82</v>
      </c>
      <c r="J7" s="5" t="s">
        <v>54</v>
      </c>
      <c r="K7" s="5" t="s">
        <v>75</v>
      </c>
      <c r="L7" s="5" t="s">
        <v>34</v>
      </c>
      <c r="M7" s="5" t="s">
        <v>67</v>
      </c>
      <c r="N7" s="5"/>
      <c r="O7" s="5"/>
      <c r="P7" s="5"/>
      <c r="Q7" s="5"/>
      <c r="R7" s="5"/>
      <c r="S7" s="5"/>
      <c r="T7" s="5" t="s">
        <v>68</v>
      </c>
      <c r="U7" s="5" t="s">
        <v>83</v>
      </c>
      <c r="V7" s="7" t="s">
        <v>70</v>
      </c>
      <c r="W7" s="7" t="s">
        <v>70</v>
      </c>
      <c r="X7" s="5" t="s">
        <v>71</v>
      </c>
      <c r="Y7" s="5" t="s">
        <v>58</v>
      </c>
      <c r="Z7" s="11">
        <v>44223</v>
      </c>
    </row>
    <row r="8" spans="1:26" x14ac:dyDescent="0.2">
      <c r="A8" s="4" t="e">
        <f t="shared" ca="1" si="0"/>
        <v>#VALUE!</v>
      </c>
      <c r="B8" s="5">
        <v>100538043</v>
      </c>
      <c r="C8" s="5" t="s">
        <v>84</v>
      </c>
      <c r="D8" s="5" t="s">
        <v>85</v>
      </c>
      <c r="E8" s="5" t="s">
        <v>86</v>
      </c>
      <c r="F8" s="5"/>
      <c r="G8" s="6" t="s">
        <v>87</v>
      </c>
      <c r="H8" s="5"/>
      <c r="I8" s="10" t="s">
        <v>88</v>
      </c>
      <c r="J8" s="5" t="s">
        <v>34</v>
      </c>
      <c r="K8" s="5" t="s">
        <v>89</v>
      </c>
      <c r="L8" s="5" t="s">
        <v>54</v>
      </c>
      <c r="M8" s="5" t="s">
        <v>90</v>
      </c>
      <c r="N8" s="5"/>
      <c r="O8" s="5"/>
      <c r="P8" s="5"/>
      <c r="Q8" s="5"/>
      <c r="R8" s="5"/>
      <c r="S8" s="5" t="s">
        <v>91</v>
      </c>
      <c r="T8" s="5" t="s">
        <v>92</v>
      </c>
      <c r="U8" s="5">
        <v>131576</v>
      </c>
      <c r="V8" s="7" t="s">
        <v>93</v>
      </c>
      <c r="W8" s="5"/>
      <c r="X8" s="5"/>
      <c r="Y8" s="5" t="s">
        <v>58</v>
      </c>
      <c r="Z8" s="9">
        <v>45505</v>
      </c>
    </row>
    <row r="9" spans="1:26" x14ac:dyDescent="0.2">
      <c r="A9" s="4" t="e">
        <f t="shared" ca="1" si="0"/>
        <v>#VALUE!</v>
      </c>
      <c r="B9" s="5">
        <v>100538042</v>
      </c>
      <c r="C9" s="5" t="s">
        <v>94</v>
      </c>
      <c r="D9" s="5" t="s">
        <v>85</v>
      </c>
      <c r="E9" s="5" t="s">
        <v>86</v>
      </c>
      <c r="F9" s="5"/>
      <c r="G9" s="6"/>
      <c r="H9" s="5"/>
      <c r="I9" s="10" t="s">
        <v>95</v>
      </c>
      <c r="J9" s="5" t="s">
        <v>34</v>
      </c>
      <c r="K9" s="5" t="s">
        <v>96</v>
      </c>
      <c r="L9" s="5" t="s">
        <v>54</v>
      </c>
      <c r="M9" s="5" t="s">
        <v>90</v>
      </c>
      <c r="N9" s="5"/>
      <c r="O9" s="5"/>
      <c r="P9" s="5"/>
      <c r="Q9" s="5"/>
      <c r="R9" s="5"/>
      <c r="S9" s="5" t="s">
        <v>91</v>
      </c>
      <c r="T9" s="5" t="s">
        <v>92</v>
      </c>
      <c r="U9" s="5">
        <v>131574</v>
      </c>
      <c r="V9" s="7" t="s">
        <v>97</v>
      </c>
      <c r="W9" s="5"/>
      <c r="X9" s="5"/>
      <c r="Y9" s="5" t="s">
        <v>58</v>
      </c>
      <c r="Z9" s="9">
        <v>45505</v>
      </c>
    </row>
    <row r="10" spans="1:26" x14ac:dyDescent="0.2">
      <c r="A10" s="4" t="e">
        <f t="shared" ca="1" si="0"/>
        <v>#VALUE!</v>
      </c>
      <c r="B10" s="5">
        <v>100538036</v>
      </c>
      <c r="C10" s="5" t="s">
        <v>98</v>
      </c>
      <c r="D10" s="5" t="s">
        <v>85</v>
      </c>
      <c r="E10" s="5" t="s">
        <v>86</v>
      </c>
      <c r="F10" s="5"/>
      <c r="G10" s="6"/>
      <c r="H10" s="5"/>
      <c r="I10" s="10" t="s">
        <v>99</v>
      </c>
      <c r="J10" s="5" t="s">
        <v>34</v>
      </c>
      <c r="K10" s="5" t="s">
        <v>96</v>
      </c>
      <c r="L10" s="5" t="s">
        <v>54</v>
      </c>
      <c r="M10" s="5" t="s">
        <v>100</v>
      </c>
      <c r="N10" s="5"/>
      <c r="O10" s="5"/>
      <c r="P10" s="5"/>
      <c r="Q10" s="5"/>
      <c r="R10" s="5"/>
      <c r="S10" s="5" t="s">
        <v>91</v>
      </c>
      <c r="T10" s="5" t="s">
        <v>92</v>
      </c>
      <c r="U10" s="5">
        <v>131560</v>
      </c>
      <c r="V10" s="7" t="s">
        <v>97</v>
      </c>
      <c r="W10" s="5"/>
      <c r="X10" s="5"/>
      <c r="Y10" s="5" t="s">
        <v>58</v>
      </c>
      <c r="Z10" s="9">
        <v>45505</v>
      </c>
    </row>
    <row r="11" spans="1:26" x14ac:dyDescent="0.2">
      <c r="A11" s="4" t="e">
        <f t="shared" ca="1" si="0"/>
        <v>#VALUE!</v>
      </c>
      <c r="B11" s="5">
        <v>100538040</v>
      </c>
      <c r="C11" s="5" t="s">
        <v>101</v>
      </c>
      <c r="D11" s="5" t="s">
        <v>85</v>
      </c>
      <c r="E11" s="5" t="s">
        <v>86</v>
      </c>
      <c r="F11" s="5"/>
      <c r="G11" s="6" t="s">
        <v>102</v>
      </c>
      <c r="H11" s="7" t="s">
        <v>103</v>
      </c>
      <c r="I11" s="10" t="s">
        <v>104</v>
      </c>
      <c r="J11" s="5" t="s">
        <v>34</v>
      </c>
      <c r="K11" s="5" t="s">
        <v>89</v>
      </c>
      <c r="L11" s="5" t="s">
        <v>54</v>
      </c>
      <c r="M11" s="5" t="s">
        <v>105</v>
      </c>
      <c r="N11" s="5"/>
      <c r="O11" s="5"/>
      <c r="P11" s="5"/>
      <c r="Q11" s="5"/>
      <c r="R11" s="5"/>
      <c r="S11" s="5" t="s">
        <v>91</v>
      </c>
      <c r="T11" s="5" t="s">
        <v>92</v>
      </c>
      <c r="U11" s="5">
        <v>131577</v>
      </c>
      <c r="V11" s="7" t="s">
        <v>93</v>
      </c>
      <c r="W11" s="5"/>
      <c r="X11" s="5"/>
      <c r="Y11" s="5" t="s">
        <v>58</v>
      </c>
      <c r="Z11" s="9">
        <v>45505</v>
      </c>
    </row>
    <row r="12" spans="1:26" x14ac:dyDescent="0.2">
      <c r="A12" s="4" t="e">
        <f t="shared" ca="1" si="0"/>
        <v>#VALUE!</v>
      </c>
      <c r="B12" s="5">
        <v>100642343</v>
      </c>
      <c r="C12" s="5" t="s">
        <v>106</v>
      </c>
      <c r="D12" s="5" t="s">
        <v>107</v>
      </c>
      <c r="E12" s="5" t="s">
        <v>108</v>
      </c>
      <c r="F12" s="5" t="s">
        <v>109</v>
      </c>
      <c r="G12" s="6" t="s">
        <v>110</v>
      </c>
      <c r="H12" s="7" t="s">
        <v>111</v>
      </c>
      <c r="I12" s="5" t="s">
        <v>112</v>
      </c>
      <c r="J12" s="5" t="s">
        <v>113</v>
      </c>
      <c r="K12" s="5" t="s">
        <v>114</v>
      </c>
      <c r="L12" s="5"/>
      <c r="M12" s="5"/>
      <c r="N12" s="5"/>
      <c r="O12" s="5"/>
      <c r="P12" s="5"/>
      <c r="Q12" s="5"/>
      <c r="R12" s="5"/>
      <c r="S12" s="5"/>
      <c r="T12" s="5" t="s">
        <v>115</v>
      </c>
      <c r="U12" s="5"/>
      <c r="V12" s="8" t="s">
        <v>116</v>
      </c>
      <c r="W12" s="5"/>
      <c r="X12" s="5"/>
      <c r="Y12" s="5" t="s">
        <v>40</v>
      </c>
      <c r="Z12" s="11">
        <v>45769</v>
      </c>
    </row>
    <row r="13" spans="1:26" x14ac:dyDescent="0.2">
      <c r="A13" s="4" t="e">
        <f t="shared" ca="1" si="0"/>
        <v>#VALUE!</v>
      </c>
      <c r="B13" s="5">
        <v>100642342</v>
      </c>
      <c r="C13" s="5" t="s">
        <v>117</v>
      </c>
      <c r="D13" s="5" t="s">
        <v>107</v>
      </c>
      <c r="E13" s="5" t="s">
        <v>108</v>
      </c>
      <c r="F13" s="5" t="s">
        <v>109</v>
      </c>
      <c r="G13" s="6" t="s">
        <v>110</v>
      </c>
      <c r="H13" s="7" t="s">
        <v>118</v>
      </c>
      <c r="I13" s="5" t="s">
        <v>119</v>
      </c>
      <c r="J13" s="5" t="s">
        <v>113</v>
      </c>
      <c r="K13" s="5" t="s">
        <v>120</v>
      </c>
      <c r="L13" s="5"/>
      <c r="M13" s="5"/>
      <c r="N13" s="5"/>
      <c r="O13" s="5"/>
      <c r="P13" s="5"/>
      <c r="Q13" s="5"/>
      <c r="R13" s="5"/>
      <c r="S13" s="5"/>
      <c r="T13" s="5" t="s">
        <v>115</v>
      </c>
      <c r="U13" s="5"/>
      <c r="V13" s="8" t="s">
        <v>121</v>
      </c>
      <c r="W13" s="5"/>
      <c r="X13" s="5"/>
      <c r="Y13" s="5" t="s">
        <v>40</v>
      </c>
      <c r="Z13" s="11">
        <v>45769</v>
      </c>
    </row>
    <row r="14" spans="1:26" x14ac:dyDescent="0.2">
      <c r="A14" s="4" t="e">
        <f t="shared" ca="1" si="0"/>
        <v>#NAME?</v>
      </c>
      <c r="B14" s="5">
        <v>100168671</v>
      </c>
      <c r="C14" s="5" t="s">
        <v>122</v>
      </c>
      <c r="D14" s="5" t="s">
        <v>123</v>
      </c>
      <c r="E14" s="5" t="s">
        <v>86</v>
      </c>
      <c r="F14" s="5" t="s">
        <v>124</v>
      </c>
      <c r="G14" s="6" t="s">
        <v>125</v>
      </c>
      <c r="H14" s="7" t="s">
        <v>126</v>
      </c>
      <c r="I14" s="10" t="s">
        <v>127</v>
      </c>
      <c r="J14" s="5" t="s">
        <v>54</v>
      </c>
      <c r="K14" s="5" t="s">
        <v>128</v>
      </c>
      <c r="L14" s="5" t="s">
        <v>34</v>
      </c>
      <c r="M14" s="5" t="s">
        <v>129</v>
      </c>
      <c r="N14" s="5"/>
      <c r="O14" s="5"/>
      <c r="P14" s="5"/>
      <c r="Q14" s="5"/>
      <c r="R14" s="5"/>
      <c r="S14" s="5"/>
      <c r="T14" s="5" t="s">
        <v>130</v>
      </c>
      <c r="U14" s="5" t="s">
        <v>131</v>
      </c>
      <c r="V14" s="7" t="s">
        <v>132</v>
      </c>
      <c r="W14" s="7" t="s">
        <v>133</v>
      </c>
      <c r="X14" s="5" t="s">
        <v>134</v>
      </c>
      <c r="Y14" s="5" t="s">
        <v>58</v>
      </c>
      <c r="Z14" s="9">
        <v>44075</v>
      </c>
    </row>
    <row r="15" spans="1:26" x14ac:dyDescent="0.2">
      <c r="A15" s="4" t="e">
        <f t="shared" ca="1" si="0"/>
        <v>#VALUE!</v>
      </c>
      <c r="B15" s="5">
        <v>100145046</v>
      </c>
      <c r="C15" s="5" t="s">
        <v>135</v>
      </c>
      <c r="D15" s="5" t="s">
        <v>136</v>
      </c>
      <c r="E15" s="5" t="s">
        <v>137</v>
      </c>
      <c r="F15" s="5" t="s">
        <v>138</v>
      </c>
      <c r="G15" s="6" t="s">
        <v>139</v>
      </c>
      <c r="H15" s="7" t="s">
        <v>140</v>
      </c>
      <c r="I15" s="10" t="s">
        <v>141</v>
      </c>
      <c r="J15" s="5" t="s">
        <v>34</v>
      </c>
      <c r="K15" s="5" t="s">
        <v>142</v>
      </c>
      <c r="L15" s="5" t="s">
        <v>143</v>
      </c>
      <c r="M15" s="5" t="s">
        <v>120</v>
      </c>
      <c r="N15" s="5"/>
      <c r="O15" s="5"/>
      <c r="P15" s="5"/>
      <c r="Q15" s="5"/>
      <c r="R15" s="5"/>
      <c r="S15" s="5" t="s">
        <v>144</v>
      </c>
      <c r="T15" s="5" t="s">
        <v>145</v>
      </c>
      <c r="U15" s="5" t="s">
        <v>135</v>
      </c>
      <c r="V15" s="5" t="s">
        <v>146</v>
      </c>
      <c r="W15" s="5" t="s">
        <v>146</v>
      </c>
      <c r="X15" s="5" t="s">
        <v>147</v>
      </c>
      <c r="Y15" s="5" t="s">
        <v>148</v>
      </c>
      <c r="Z15" s="9">
        <v>43891</v>
      </c>
    </row>
    <row r="16" spans="1:26" x14ac:dyDescent="0.2">
      <c r="A16" s="4" t="e">
        <f t="shared" ca="1" si="0"/>
        <v>#NAME?</v>
      </c>
      <c r="B16" s="5">
        <v>100181152</v>
      </c>
      <c r="C16" s="5" t="s">
        <v>149</v>
      </c>
      <c r="D16" s="5" t="s">
        <v>136</v>
      </c>
      <c r="E16" s="5" t="s">
        <v>137</v>
      </c>
      <c r="F16" s="5" t="s">
        <v>138</v>
      </c>
      <c r="G16" s="6" t="s">
        <v>139</v>
      </c>
      <c r="H16" s="7" t="s">
        <v>150</v>
      </c>
      <c r="I16" s="10" t="s">
        <v>151</v>
      </c>
      <c r="J16" s="5" t="s">
        <v>34</v>
      </c>
      <c r="K16" s="5" t="s">
        <v>152</v>
      </c>
      <c r="L16" s="5" t="s">
        <v>143</v>
      </c>
      <c r="M16" s="5" t="s">
        <v>120</v>
      </c>
      <c r="N16" s="5"/>
      <c r="O16" s="5"/>
      <c r="P16" s="5"/>
      <c r="Q16" s="5"/>
      <c r="R16" s="5"/>
      <c r="S16" s="5" t="s">
        <v>144</v>
      </c>
      <c r="T16" s="5" t="s">
        <v>145</v>
      </c>
      <c r="U16" s="5" t="s">
        <v>149</v>
      </c>
      <c r="V16" s="5" t="s">
        <v>153</v>
      </c>
      <c r="W16" s="5" t="s">
        <v>153</v>
      </c>
      <c r="X16" s="5" t="s">
        <v>154</v>
      </c>
      <c r="Y16" s="5" t="s">
        <v>148</v>
      </c>
      <c r="Z16" s="11">
        <v>44131</v>
      </c>
    </row>
    <row r="17" spans="1:26" x14ac:dyDescent="0.2">
      <c r="A17" s="4" t="e">
        <f t="shared" ca="1" si="0"/>
        <v>#VALUE!</v>
      </c>
      <c r="B17" s="5">
        <v>100608414</v>
      </c>
      <c r="C17" s="5" t="s">
        <v>155</v>
      </c>
      <c r="D17" s="5" t="s">
        <v>156</v>
      </c>
      <c r="E17" s="5" t="s">
        <v>157</v>
      </c>
      <c r="F17" s="5" t="s">
        <v>158</v>
      </c>
      <c r="G17" s="6" t="s">
        <v>159</v>
      </c>
      <c r="H17" s="7" t="s">
        <v>160</v>
      </c>
      <c r="I17" s="10" t="s">
        <v>161</v>
      </c>
      <c r="J17" s="5" t="s">
        <v>34</v>
      </c>
      <c r="K17" s="5" t="s">
        <v>162</v>
      </c>
      <c r="L17" s="5"/>
      <c r="M17" s="5"/>
      <c r="N17" s="5"/>
      <c r="O17" s="5"/>
      <c r="P17" s="5"/>
      <c r="Q17" s="5"/>
      <c r="R17" s="5"/>
      <c r="S17" s="5" t="s">
        <v>163</v>
      </c>
      <c r="T17" s="5" t="s">
        <v>164</v>
      </c>
      <c r="U17" s="5" t="s">
        <v>165</v>
      </c>
      <c r="V17" s="7" t="s">
        <v>166</v>
      </c>
      <c r="W17" s="5"/>
      <c r="X17" s="5"/>
      <c r="Y17" s="5" t="s">
        <v>167</v>
      </c>
      <c r="Z17" s="11">
        <v>45768</v>
      </c>
    </row>
    <row r="18" spans="1:26" x14ac:dyDescent="0.2">
      <c r="A18" s="4" t="e">
        <f t="shared" ca="1" si="0"/>
        <v>#VALUE!</v>
      </c>
      <c r="B18" s="5">
        <v>100608411</v>
      </c>
      <c r="C18" s="5" t="s">
        <v>168</v>
      </c>
      <c r="D18" s="5" t="s">
        <v>156</v>
      </c>
      <c r="E18" s="5" t="s">
        <v>157</v>
      </c>
      <c r="F18" s="5" t="s">
        <v>158</v>
      </c>
      <c r="G18" s="6" t="s">
        <v>159</v>
      </c>
      <c r="H18" s="7" t="s">
        <v>169</v>
      </c>
      <c r="I18" s="10" t="s">
        <v>170</v>
      </c>
      <c r="J18" s="5" t="s">
        <v>34</v>
      </c>
      <c r="K18" s="5" t="s">
        <v>171</v>
      </c>
      <c r="L18" s="5"/>
      <c r="M18" s="5"/>
      <c r="N18" s="5"/>
      <c r="O18" s="5"/>
      <c r="P18" s="5"/>
      <c r="Q18" s="5"/>
      <c r="R18" s="5"/>
      <c r="S18" s="5" t="s">
        <v>163</v>
      </c>
      <c r="T18" s="5" t="s">
        <v>164</v>
      </c>
      <c r="U18" s="5" t="s">
        <v>172</v>
      </c>
      <c r="V18" s="7" t="s">
        <v>173</v>
      </c>
      <c r="W18" s="5"/>
      <c r="X18" s="5"/>
      <c r="Y18" s="5" t="s">
        <v>167</v>
      </c>
      <c r="Z18" s="11">
        <v>45768</v>
      </c>
    </row>
    <row r="19" spans="1:26" x14ac:dyDescent="0.2">
      <c r="A19" s="4" t="e">
        <f t="shared" ca="1" si="0"/>
        <v>#NAME?</v>
      </c>
      <c r="B19" s="5">
        <v>100608415</v>
      </c>
      <c r="C19" s="5" t="s">
        <v>174</v>
      </c>
      <c r="D19" s="5" t="s">
        <v>156</v>
      </c>
      <c r="E19" s="5" t="s">
        <v>157</v>
      </c>
      <c r="F19" s="5" t="s">
        <v>158</v>
      </c>
      <c r="G19" s="6" t="s">
        <v>159</v>
      </c>
      <c r="H19" s="7" t="s">
        <v>175</v>
      </c>
      <c r="I19" s="10" t="s">
        <v>176</v>
      </c>
      <c r="J19" s="5" t="s">
        <v>34</v>
      </c>
      <c r="K19" s="5" t="s">
        <v>177</v>
      </c>
      <c r="L19" s="5"/>
      <c r="M19" s="5"/>
      <c r="N19" s="5"/>
      <c r="O19" s="5"/>
      <c r="P19" s="5"/>
      <c r="Q19" s="5"/>
      <c r="R19" s="5"/>
      <c r="S19" s="5" t="s">
        <v>163</v>
      </c>
      <c r="T19" s="5" t="s">
        <v>164</v>
      </c>
      <c r="U19" s="5" t="s">
        <v>178</v>
      </c>
      <c r="V19" s="7" t="s">
        <v>179</v>
      </c>
      <c r="W19" s="5"/>
      <c r="X19" s="5"/>
      <c r="Y19" s="5" t="s">
        <v>167</v>
      </c>
      <c r="Z19" s="11">
        <v>45768</v>
      </c>
    </row>
    <row r="20" spans="1:26" x14ac:dyDescent="0.2">
      <c r="A20" s="4" t="e">
        <f t="shared" ca="1" si="0"/>
        <v>#VALUE!</v>
      </c>
      <c r="B20" s="5">
        <v>100608512</v>
      </c>
      <c r="C20" s="5" t="s">
        <v>180</v>
      </c>
      <c r="D20" s="5" t="s">
        <v>156</v>
      </c>
      <c r="E20" s="5" t="s">
        <v>157</v>
      </c>
      <c r="F20" s="5" t="s">
        <v>158</v>
      </c>
      <c r="G20" s="6" t="s">
        <v>159</v>
      </c>
      <c r="H20" s="7" t="s">
        <v>181</v>
      </c>
      <c r="I20" s="10" t="s">
        <v>182</v>
      </c>
      <c r="J20" s="5" t="s">
        <v>34</v>
      </c>
      <c r="K20" s="5" t="s">
        <v>183</v>
      </c>
      <c r="L20" s="5"/>
      <c r="M20" s="5"/>
      <c r="N20" s="5"/>
      <c r="O20" s="5"/>
      <c r="P20" s="5"/>
      <c r="Q20" s="5"/>
      <c r="R20" s="5"/>
      <c r="S20" s="5" t="s">
        <v>163</v>
      </c>
      <c r="T20" s="5" t="s">
        <v>164</v>
      </c>
      <c r="U20" s="5" t="s">
        <v>184</v>
      </c>
      <c r="V20" s="7" t="s">
        <v>185</v>
      </c>
      <c r="W20" s="5"/>
      <c r="X20" s="5"/>
      <c r="Y20" s="5" t="s">
        <v>167</v>
      </c>
      <c r="Z20" s="11">
        <v>45768</v>
      </c>
    </row>
    <row r="21" spans="1:26" x14ac:dyDescent="0.2">
      <c r="A21" s="4" t="e">
        <f t="shared" ca="1" si="0"/>
        <v>#VALUE!</v>
      </c>
      <c r="B21" s="5">
        <v>100072864</v>
      </c>
      <c r="C21" s="5" t="s">
        <v>186</v>
      </c>
      <c r="D21" s="5" t="s">
        <v>187</v>
      </c>
      <c r="E21" s="5" t="s">
        <v>188</v>
      </c>
      <c r="F21" s="5" t="s">
        <v>189</v>
      </c>
      <c r="G21" s="6" t="s">
        <v>190</v>
      </c>
      <c r="H21" s="7" t="s">
        <v>191</v>
      </c>
      <c r="I21" s="10" t="s">
        <v>192</v>
      </c>
      <c r="J21" s="5" t="s">
        <v>34</v>
      </c>
      <c r="K21" s="5" t="s">
        <v>193</v>
      </c>
      <c r="L21" s="5"/>
      <c r="M21" s="5"/>
      <c r="N21" s="5"/>
      <c r="O21" s="5"/>
      <c r="P21" s="5"/>
      <c r="Q21" s="5"/>
      <c r="R21" s="5"/>
      <c r="S21" s="5" t="s">
        <v>194</v>
      </c>
      <c r="T21" s="5" t="s">
        <v>195</v>
      </c>
      <c r="U21" s="5" t="s">
        <v>196</v>
      </c>
      <c r="V21" s="7" t="s">
        <v>197</v>
      </c>
      <c r="W21" s="7" t="s">
        <v>197</v>
      </c>
      <c r="X21" s="5" t="s">
        <v>198</v>
      </c>
      <c r="Y21" s="5" t="s">
        <v>199</v>
      </c>
      <c r="Z21" s="9">
        <v>42795</v>
      </c>
    </row>
    <row r="22" spans="1:26" x14ac:dyDescent="0.2">
      <c r="A22" s="4" t="e">
        <f t="shared" ca="1" si="0"/>
        <v>#VALUE!</v>
      </c>
      <c r="B22" s="5">
        <v>100072872</v>
      </c>
      <c r="C22" s="5" t="s">
        <v>200</v>
      </c>
      <c r="D22" s="5" t="s">
        <v>201</v>
      </c>
      <c r="E22" s="5" t="s">
        <v>188</v>
      </c>
      <c r="F22" s="5" t="s">
        <v>189</v>
      </c>
      <c r="G22" s="6" t="s">
        <v>202</v>
      </c>
      <c r="H22" s="7" t="s">
        <v>203</v>
      </c>
      <c r="I22" s="10" t="s">
        <v>204</v>
      </c>
      <c r="J22" s="5" t="s">
        <v>34</v>
      </c>
      <c r="K22" s="5" t="s">
        <v>205</v>
      </c>
      <c r="L22" s="5"/>
      <c r="M22" s="5"/>
      <c r="N22" s="5"/>
      <c r="O22" s="5"/>
      <c r="P22" s="5"/>
      <c r="Q22" s="5"/>
      <c r="R22" s="5"/>
      <c r="S22" s="5" t="s">
        <v>194</v>
      </c>
      <c r="T22" s="5" t="s">
        <v>206</v>
      </c>
      <c r="U22" s="5" t="s">
        <v>207</v>
      </c>
      <c r="V22" s="7" t="s">
        <v>208</v>
      </c>
      <c r="W22" s="7" t="s">
        <v>208</v>
      </c>
      <c r="X22" s="5" t="s">
        <v>209</v>
      </c>
      <c r="Y22" s="5" t="s">
        <v>199</v>
      </c>
      <c r="Z22" s="9">
        <v>42795</v>
      </c>
    </row>
    <row r="23" spans="1:26" x14ac:dyDescent="0.2">
      <c r="A23" s="4" t="e">
        <f t="shared" ca="1" si="0"/>
        <v>#NAME?</v>
      </c>
      <c r="B23" s="5">
        <v>100559774</v>
      </c>
      <c r="C23" s="5" t="s">
        <v>210</v>
      </c>
      <c r="D23" s="5" t="s">
        <v>211</v>
      </c>
      <c r="E23" s="5" t="s">
        <v>212</v>
      </c>
      <c r="F23" s="5" t="s">
        <v>213</v>
      </c>
      <c r="G23" s="6" t="s">
        <v>214</v>
      </c>
      <c r="H23" s="7" t="s">
        <v>215</v>
      </c>
      <c r="I23" s="10" t="s">
        <v>216</v>
      </c>
      <c r="J23" s="5" t="s">
        <v>217</v>
      </c>
      <c r="K23" s="5" t="s">
        <v>218</v>
      </c>
      <c r="L23" s="5" t="s">
        <v>34</v>
      </c>
      <c r="M23" s="5" t="s">
        <v>219</v>
      </c>
      <c r="N23" s="5" t="s">
        <v>143</v>
      </c>
      <c r="O23" s="5" t="s">
        <v>114</v>
      </c>
      <c r="P23" s="5"/>
      <c r="Q23" s="5"/>
      <c r="R23" s="5"/>
      <c r="S23" s="5" t="s">
        <v>220</v>
      </c>
      <c r="T23" s="5" t="s">
        <v>221</v>
      </c>
      <c r="U23" s="5" t="s">
        <v>222</v>
      </c>
      <c r="V23" s="5" t="s">
        <v>223</v>
      </c>
      <c r="W23" s="5" t="s">
        <v>224</v>
      </c>
      <c r="X23" s="5" t="s">
        <v>225</v>
      </c>
      <c r="Y23" s="5" t="s">
        <v>148</v>
      </c>
      <c r="Z23" s="9">
        <v>45419</v>
      </c>
    </row>
    <row r="24" spans="1:26" x14ac:dyDescent="0.2">
      <c r="A24" s="4" t="e">
        <f t="shared" ca="1" si="0"/>
        <v>#NAME?</v>
      </c>
      <c r="B24" s="5">
        <v>100559775</v>
      </c>
      <c r="C24" s="5" t="s">
        <v>226</v>
      </c>
      <c r="D24" s="5" t="s">
        <v>211</v>
      </c>
      <c r="E24" s="5" t="s">
        <v>212</v>
      </c>
      <c r="F24" s="5" t="s">
        <v>213</v>
      </c>
      <c r="G24" s="6" t="s">
        <v>214</v>
      </c>
      <c r="H24" s="7" t="s">
        <v>227</v>
      </c>
      <c r="I24" s="10" t="s">
        <v>228</v>
      </c>
      <c r="J24" s="5" t="s">
        <v>217</v>
      </c>
      <c r="K24" s="5" t="s">
        <v>218</v>
      </c>
      <c r="L24" s="5" t="s">
        <v>34</v>
      </c>
      <c r="M24" s="5" t="s">
        <v>219</v>
      </c>
      <c r="N24" s="5" t="s">
        <v>143</v>
      </c>
      <c r="O24" s="5" t="s">
        <v>120</v>
      </c>
      <c r="P24" s="5"/>
      <c r="Q24" s="5"/>
      <c r="R24" s="5"/>
      <c r="S24" s="5" t="s">
        <v>220</v>
      </c>
      <c r="T24" s="5" t="s">
        <v>221</v>
      </c>
      <c r="U24" s="5" t="s">
        <v>229</v>
      </c>
      <c r="V24" s="5" t="s">
        <v>230</v>
      </c>
      <c r="W24" s="5" t="s">
        <v>231</v>
      </c>
      <c r="X24" s="5" t="s">
        <v>232</v>
      </c>
      <c r="Y24" s="5" t="s">
        <v>148</v>
      </c>
      <c r="Z24" s="9">
        <v>45419</v>
      </c>
    </row>
    <row r="25" spans="1:26" x14ac:dyDescent="0.2">
      <c r="A25" s="4" t="e">
        <f t="shared" ca="1" si="0"/>
        <v>#VALUE!</v>
      </c>
      <c r="B25" s="5">
        <v>100673417</v>
      </c>
      <c r="C25" s="5" t="s">
        <v>233</v>
      </c>
      <c r="D25" s="5" t="s">
        <v>211</v>
      </c>
      <c r="E25" s="5" t="s">
        <v>212</v>
      </c>
      <c r="F25" s="5" t="s">
        <v>213</v>
      </c>
      <c r="G25" s="6" t="s">
        <v>214</v>
      </c>
      <c r="H25" s="7" t="s">
        <v>234</v>
      </c>
      <c r="I25" s="5" t="s">
        <v>235</v>
      </c>
      <c r="J25" s="5" t="s">
        <v>217</v>
      </c>
      <c r="K25" s="5" t="s">
        <v>236</v>
      </c>
      <c r="L25" s="5" t="s">
        <v>34</v>
      </c>
      <c r="M25" s="5" t="s">
        <v>237</v>
      </c>
      <c r="N25" s="5" t="s">
        <v>143</v>
      </c>
      <c r="O25" s="5" t="s">
        <v>114</v>
      </c>
      <c r="P25" s="5"/>
      <c r="Q25" s="5"/>
      <c r="R25" s="5"/>
      <c r="S25" s="5" t="s">
        <v>220</v>
      </c>
      <c r="T25" s="5" t="s">
        <v>221</v>
      </c>
      <c r="U25" s="5" t="s">
        <v>233</v>
      </c>
      <c r="V25" s="5" t="s">
        <v>238</v>
      </c>
      <c r="W25" s="7" t="s">
        <v>239</v>
      </c>
      <c r="X25" s="5" t="s">
        <v>240</v>
      </c>
      <c r="Y25" s="5" t="s">
        <v>148</v>
      </c>
      <c r="Z25" s="11">
        <v>45768</v>
      </c>
    </row>
    <row r="26" spans="1:26" x14ac:dyDescent="0.2">
      <c r="A26" s="4" t="e">
        <f t="shared" ca="1" si="0"/>
        <v>#VALUE!</v>
      </c>
      <c r="B26" s="5">
        <v>100661719</v>
      </c>
      <c r="C26" s="5" t="s">
        <v>241</v>
      </c>
      <c r="D26" s="5" t="s">
        <v>211</v>
      </c>
      <c r="E26" s="5" t="s">
        <v>212</v>
      </c>
      <c r="F26" s="5" t="s">
        <v>213</v>
      </c>
      <c r="G26" s="6" t="s">
        <v>214</v>
      </c>
      <c r="H26" s="7" t="s">
        <v>242</v>
      </c>
      <c r="I26" s="5" t="s">
        <v>243</v>
      </c>
      <c r="J26" s="5" t="s">
        <v>217</v>
      </c>
      <c r="K26" s="5" t="s">
        <v>236</v>
      </c>
      <c r="L26" s="5" t="s">
        <v>34</v>
      </c>
      <c r="M26" s="5" t="s">
        <v>237</v>
      </c>
      <c r="N26" s="5" t="s">
        <v>143</v>
      </c>
      <c r="O26" s="5" t="s">
        <v>120</v>
      </c>
      <c r="P26" s="5"/>
      <c r="Q26" s="5"/>
      <c r="R26" s="5"/>
      <c r="S26" s="5" t="s">
        <v>220</v>
      </c>
      <c r="T26" s="5" t="s">
        <v>221</v>
      </c>
      <c r="U26" s="5" t="s">
        <v>241</v>
      </c>
      <c r="V26" s="5" t="s">
        <v>244</v>
      </c>
      <c r="W26" s="7" t="s">
        <v>245</v>
      </c>
      <c r="X26" s="5" t="s">
        <v>246</v>
      </c>
      <c r="Y26" s="5" t="s">
        <v>148</v>
      </c>
      <c r="Z26" s="11">
        <v>45768</v>
      </c>
    </row>
    <row r="27" spans="1:26" x14ac:dyDescent="0.2">
      <c r="A27" s="4" t="e">
        <f t="shared" ca="1" si="0"/>
        <v>#NAME?</v>
      </c>
      <c r="B27" s="5">
        <v>100559923</v>
      </c>
      <c r="C27" s="5" t="s">
        <v>247</v>
      </c>
      <c r="D27" s="5" t="s">
        <v>248</v>
      </c>
      <c r="E27" s="5" t="s">
        <v>212</v>
      </c>
      <c r="F27" s="5" t="s">
        <v>213</v>
      </c>
      <c r="G27" s="6" t="s">
        <v>249</v>
      </c>
      <c r="H27" s="7" t="s">
        <v>250</v>
      </c>
      <c r="I27" s="10" t="s">
        <v>251</v>
      </c>
      <c r="J27" s="5" t="s">
        <v>54</v>
      </c>
      <c r="K27" s="5" t="s">
        <v>252</v>
      </c>
      <c r="L27" s="5" t="s">
        <v>217</v>
      </c>
      <c r="M27" s="5" t="s">
        <v>218</v>
      </c>
      <c r="N27" s="5" t="s">
        <v>34</v>
      </c>
      <c r="O27" s="5" t="s">
        <v>219</v>
      </c>
      <c r="P27" s="5" t="s">
        <v>143</v>
      </c>
      <c r="Q27" s="5" t="s">
        <v>114</v>
      </c>
      <c r="R27" s="5"/>
      <c r="S27" s="5" t="s">
        <v>220</v>
      </c>
      <c r="T27" s="5" t="s">
        <v>253</v>
      </c>
      <c r="U27" s="5" t="s">
        <v>254</v>
      </c>
      <c r="V27" s="5" t="s">
        <v>223</v>
      </c>
      <c r="W27" s="5" t="s">
        <v>224</v>
      </c>
      <c r="X27" s="5" t="s">
        <v>225</v>
      </c>
      <c r="Y27" s="5" t="s">
        <v>148</v>
      </c>
      <c r="Z27" s="9">
        <v>45419</v>
      </c>
    </row>
    <row r="28" spans="1:26" x14ac:dyDescent="0.2">
      <c r="A28" s="4" t="e">
        <f t="shared" ca="1" si="0"/>
        <v>#NAME?</v>
      </c>
      <c r="B28" s="5">
        <v>100559924</v>
      </c>
      <c r="C28" s="5" t="s">
        <v>255</v>
      </c>
      <c r="D28" s="5" t="s">
        <v>248</v>
      </c>
      <c r="E28" s="5" t="s">
        <v>212</v>
      </c>
      <c r="F28" s="5" t="s">
        <v>213</v>
      </c>
      <c r="G28" s="6" t="s">
        <v>249</v>
      </c>
      <c r="H28" s="7" t="s">
        <v>256</v>
      </c>
      <c r="I28" s="10" t="s">
        <v>257</v>
      </c>
      <c r="J28" s="5" t="s">
        <v>54</v>
      </c>
      <c r="K28" s="5" t="s">
        <v>252</v>
      </c>
      <c r="L28" s="5" t="s">
        <v>217</v>
      </c>
      <c r="M28" s="5" t="s">
        <v>218</v>
      </c>
      <c r="N28" s="5" t="s">
        <v>34</v>
      </c>
      <c r="O28" s="5" t="s">
        <v>219</v>
      </c>
      <c r="P28" s="5" t="s">
        <v>143</v>
      </c>
      <c r="Q28" s="5" t="s">
        <v>120</v>
      </c>
      <c r="R28" s="5"/>
      <c r="S28" s="5" t="s">
        <v>220</v>
      </c>
      <c r="T28" s="5" t="s">
        <v>253</v>
      </c>
      <c r="U28" s="5" t="s">
        <v>258</v>
      </c>
      <c r="V28" s="5" t="s">
        <v>230</v>
      </c>
      <c r="W28" s="5" t="s">
        <v>231</v>
      </c>
      <c r="X28" s="5" t="s">
        <v>232</v>
      </c>
      <c r="Y28" s="5" t="s">
        <v>148</v>
      </c>
      <c r="Z28" s="9">
        <v>45419</v>
      </c>
    </row>
    <row r="29" spans="1:26" x14ac:dyDescent="0.2">
      <c r="A29" s="4" t="e">
        <f t="shared" ca="1" si="0"/>
        <v>#VALUE!</v>
      </c>
      <c r="B29" s="5">
        <v>100578875</v>
      </c>
      <c r="C29" s="5" t="s">
        <v>259</v>
      </c>
      <c r="D29" s="5" t="s">
        <v>248</v>
      </c>
      <c r="E29" s="5" t="s">
        <v>212</v>
      </c>
      <c r="F29" s="5" t="s">
        <v>213</v>
      </c>
      <c r="G29" s="6" t="s">
        <v>249</v>
      </c>
      <c r="H29" s="7" t="s">
        <v>260</v>
      </c>
      <c r="I29" s="10" t="s">
        <v>261</v>
      </c>
      <c r="J29" s="5" t="s">
        <v>54</v>
      </c>
      <c r="K29" s="5" t="s">
        <v>252</v>
      </c>
      <c r="L29" s="5" t="s">
        <v>217</v>
      </c>
      <c r="M29" s="5" t="s">
        <v>262</v>
      </c>
      <c r="N29" s="5" t="s">
        <v>34</v>
      </c>
      <c r="O29" s="5" t="s">
        <v>263</v>
      </c>
      <c r="P29" s="5" t="s">
        <v>143</v>
      </c>
      <c r="Q29" s="5" t="s">
        <v>114</v>
      </c>
      <c r="R29" s="5"/>
      <c r="S29" s="5" t="s">
        <v>220</v>
      </c>
      <c r="T29" s="5" t="s">
        <v>253</v>
      </c>
      <c r="U29" s="5" t="s">
        <v>264</v>
      </c>
      <c r="V29" s="5" t="s">
        <v>265</v>
      </c>
      <c r="W29" s="5" t="s">
        <v>265</v>
      </c>
      <c r="X29" s="5" t="s">
        <v>266</v>
      </c>
      <c r="Y29" s="5" t="s">
        <v>148</v>
      </c>
      <c r="Z29" s="11">
        <v>45496</v>
      </c>
    </row>
    <row r="30" spans="1:26" x14ac:dyDescent="0.2">
      <c r="A30" s="4" t="e">
        <f t="shared" ca="1" si="0"/>
        <v>#NAME?</v>
      </c>
      <c r="B30" s="5">
        <v>100578777</v>
      </c>
      <c r="C30" s="5" t="s">
        <v>267</v>
      </c>
      <c r="D30" s="5" t="s">
        <v>248</v>
      </c>
      <c r="E30" s="5" t="s">
        <v>212</v>
      </c>
      <c r="F30" s="5" t="s">
        <v>213</v>
      </c>
      <c r="G30" s="6" t="s">
        <v>249</v>
      </c>
      <c r="H30" s="7" t="s">
        <v>268</v>
      </c>
      <c r="I30" s="10" t="s">
        <v>269</v>
      </c>
      <c r="J30" s="5" t="s">
        <v>54</v>
      </c>
      <c r="K30" s="5" t="s">
        <v>252</v>
      </c>
      <c r="L30" s="5" t="s">
        <v>217</v>
      </c>
      <c r="M30" s="5" t="s">
        <v>262</v>
      </c>
      <c r="N30" s="5" t="s">
        <v>34</v>
      </c>
      <c r="O30" s="5" t="s">
        <v>263</v>
      </c>
      <c r="P30" s="5" t="s">
        <v>143</v>
      </c>
      <c r="Q30" s="5" t="s">
        <v>120</v>
      </c>
      <c r="R30" s="5"/>
      <c r="S30" s="5" t="s">
        <v>220</v>
      </c>
      <c r="T30" s="5" t="s">
        <v>253</v>
      </c>
      <c r="U30" s="5" t="s">
        <v>270</v>
      </c>
      <c r="V30" s="5" t="s">
        <v>271</v>
      </c>
      <c r="W30" s="5" t="s">
        <v>271</v>
      </c>
      <c r="X30" s="5" t="s">
        <v>272</v>
      </c>
      <c r="Y30" s="5" t="s">
        <v>148</v>
      </c>
      <c r="Z30" s="11">
        <v>45496</v>
      </c>
    </row>
    <row r="31" spans="1:26" x14ac:dyDescent="0.2">
      <c r="A31" s="4" t="e">
        <f t="shared" ca="1" si="0"/>
        <v>#VALUE!</v>
      </c>
      <c r="B31" s="5">
        <v>100656809</v>
      </c>
      <c r="C31" s="5" t="s">
        <v>273</v>
      </c>
      <c r="D31" s="5" t="s">
        <v>274</v>
      </c>
      <c r="E31" s="5" t="s">
        <v>86</v>
      </c>
      <c r="F31" s="5" t="s">
        <v>275</v>
      </c>
      <c r="G31" s="6" t="s">
        <v>276</v>
      </c>
      <c r="H31" s="7" t="s">
        <v>277</v>
      </c>
      <c r="I31" s="10" t="s">
        <v>278</v>
      </c>
      <c r="J31" s="5" t="s">
        <v>279</v>
      </c>
      <c r="K31" s="5" t="s">
        <v>193</v>
      </c>
      <c r="L31" s="5" t="s">
        <v>217</v>
      </c>
      <c r="M31" s="5" t="s">
        <v>280</v>
      </c>
      <c r="N31" s="5" t="s">
        <v>34</v>
      </c>
      <c r="O31" s="5" t="s">
        <v>281</v>
      </c>
      <c r="P31" s="5"/>
      <c r="Q31" s="5"/>
      <c r="R31" s="5"/>
      <c r="S31" s="5" t="s">
        <v>282</v>
      </c>
      <c r="T31" s="5" t="s">
        <v>283</v>
      </c>
      <c r="U31" s="5" t="s">
        <v>284</v>
      </c>
      <c r="V31" s="5"/>
      <c r="W31" s="5"/>
      <c r="X31" s="5"/>
      <c r="Y31" s="5" t="s">
        <v>148</v>
      </c>
      <c r="Z31" s="11">
        <v>45776</v>
      </c>
    </row>
    <row r="32" spans="1:26" x14ac:dyDescent="0.2">
      <c r="A32" s="4" t="e">
        <f t="shared" ca="1" si="0"/>
        <v>#VALUE!</v>
      </c>
      <c r="B32" s="5">
        <v>100656795</v>
      </c>
      <c r="C32" s="5" t="s">
        <v>285</v>
      </c>
      <c r="D32" s="5" t="s">
        <v>286</v>
      </c>
      <c r="E32" s="5" t="s">
        <v>86</v>
      </c>
      <c r="F32" s="5" t="s">
        <v>275</v>
      </c>
      <c r="G32" s="6" t="s">
        <v>287</v>
      </c>
      <c r="H32" s="7" t="s">
        <v>288</v>
      </c>
      <c r="I32" s="10" t="s">
        <v>289</v>
      </c>
      <c r="J32" s="5" t="s">
        <v>279</v>
      </c>
      <c r="K32" s="5" t="s">
        <v>193</v>
      </c>
      <c r="L32" s="5" t="s">
        <v>217</v>
      </c>
      <c r="M32" s="5" t="s">
        <v>280</v>
      </c>
      <c r="N32" s="5" t="s">
        <v>34</v>
      </c>
      <c r="O32" s="5" t="s">
        <v>281</v>
      </c>
      <c r="P32" s="5"/>
      <c r="Q32" s="5"/>
      <c r="R32" s="5"/>
      <c r="S32" s="5" t="s">
        <v>282</v>
      </c>
      <c r="T32" s="5" t="s">
        <v>221</v>
      </c>
      <c r="U32" s="5" t="s">
        <v>290</v>
      </c>
      <c r="V32" s="5"/>
      <c r="W32" s="5"/>
      <c r="X32" s="5"/>
      <c r="Y32" s="5" t="s">
        <v>148</v>
      </c>
      <c r="Z32" s="11">
        <v>45776</v>
      </c>
    </row>
    <row r="33" spans="1:26" x14ac:dyDescent="0.2">
      <c r="A33" s="4" t="e">
        <f t="shared" ca="1" si="0"/>
        <v>#NAME?</v>
      </c>
      <c r="B33" s="5">
        <v>100657244</v>
      </c>
      <c r="C33" s="5" t="s">
        <v>291</v>
      </c>
      <c r="D33" s="5" t="s">
        <v>292</v>
      </c>
      <c r="E33" s="5" t="s">
        <v>86</v>
      </c>
      <c r="F33" s="5" t="s">
        <v>275</v>
      </c>
      <c r="G33" s="6" t="s">
        <v>293</v>
      </c>
      <c r="H33" s="7" t="s">
        <v>294</v>
      </c>
      <c r="I33" s="10" t="s">
        <v>295</v>
      </c>
      <c r="J33" s="5" t="s">
        <v>279</v>
      </c>
      <c r="K33" s="5" t="s">
        <v>193</v>
      </c>
      <c r="L33" s="5" t="s">
        <v>217</v>
      </c>
      <c r="M33" s="5" t="s">
        <v>280</v>
      </c>
      <c r="N33" s="5" t="s">
        <v>34</v>
      </c>
      <c r="O33" s="5" t="s">
        <v>281</v>
      </c>
      <c r="P33" s="5"/>
      <c r="Q33" s="5"/>
      <c r="R33" s="5"/>
      <c r="S33" s="5" t="s">
        <v>282</v>
      </c>
      <c r="T33" s="5" t="s">
        <v>283</v>
      </c>
      <c r="U33" s="5"/>
      <c r="V33" s="5"/>
      <c r="W33" s="5"/>
      <c r="X33" s="5"/>
      <c r="Y33" s="5" t="s">
        <v>148</v>
      </c>
      <c r="Z33" s="11">
        <v>45776</v>
      </c>
    </row>
    <row r="34" spans="1:26" x14ac:dyDescent="0.2">
      <c r="A34" s="12"/>
      <c r="B34" s="12"/>
      <c r="C34" s="12"/>
      <c r="D34" s="12"/>
      <c r="E34" s="12"/>
      <c r="F34" s="12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">
      <c r="A36" s="12"/>
      <c r="B36" s="12"/>
      <c r="C36" s="12"/>
      <c r="D36" s="12"/>
      <c r="E36" s="12"/>
      <c r="F36" s="12"/>
      <c r="G36" s="1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">
      <c r="A37" s="12"/>
      <c r="B37" s="12"/>
      <c r="C37" s="12"/>
      <c r="D37" s="12"/>
      <c r="E37" s="12"/>
      <c r="F37" s="12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">
      <c r="A38" s="12"/>
      <c r="B38" s="12"/>
      <c r="C38" s="12"/>
      <c r="D38" s="12"/>
      <c r="E38" s="12"/>
      <c r="F38" s="12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">
      <c r="A39" s="12"/>
      <c r="B39" s="12"/>
      <c r="C39" s="12"/>
      <c r="D39" s="12"/>
      <c r="E39" s="12"/>
      <c r="F39" s="12"/>
      <c r="G39" s="1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2">
      <c r="A40" s="12"/>
      <c r="B40" s="12"/>
      <c r="C40" s="12"/>
      <c r="D40" s="12"/>
      <c r="E40" s="12"/>
      <c r="F40" s="12"/>
      <c r="G40" s="1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">
      <c r="A41" s="12"/>
      <c r="B41" s="12"/>
      <c r="C41" s="12"/>
      <c r="D41" s="12"/>
      <c r="E41" s="12"/>
      <c r="F41" s="12"/>
      <c r="G41" s="1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">
      <c r="A42" s="12"/>
      <c r="B42" s="12"/>
      <c r="C42" s="12"/>
      <c r="D42" s="12"/>
      <c r="E42" s="12"/>
      <c r="F42" s="12"/>
      <c r="G42" s="1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">
      <c r="A43" s="12"/>
      <c r="B43" s="12"/>
      <c r="C43" s="12"/>
      <c r="D43" s="12"/>
      <c r="E43" s="12"/>
      <c r="F43" s="12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">
      <c r="A44" s="12"/>
      <c r="B44" s="12"/>
      <c r="C44" s="12"/>
      <c r="D44" s="12"/>
      <c r="E44" s="12"/>
      <c r="F44" s="12"/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">
      <c r="A45" s="12"/>
      <c r="B45" s="12"/>
      <c r="C45" s="12"/>
      <c r="D45" s="12"/>
      <c r="E45" s="12"/>
      <c r="F45" s="12"/>
      <c r="G45" s="1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">
      <c r="A46" s="12"/>
      <c r="B46" s="12"/>
      <c r="C46" s="12"/>
      <c r="D46" s="12"/>
      <c r="E46" s="12"/>
      <c r="F46" s="12"/>
      <c r="G46" s="13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">
      <c r="A47" s="12"/>
      <c r="B47" s="12"/>
      <c r="C47" s="12"/>
      <c r="D47" s="12"/>
      <c r="E47" s="12"/>
      <c r="F47" s="12"/>
      <c r="G47" s="1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">
      <c r="A48" s="12"/>
      <c r="B48" s="12"/>
      <c r="C48" s="12"/>
      <c r="D48" s="12"/>
      <c r="E48" s="12"/>
      <c r="F48" s="12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">
      <c r="A49" s="12"/>
      <c r="B49" s="12"/>
      <c r="C49" s="12"/>
      <c r="D49" s="12"/>
      <c r="E49" s="12"/>
      <c r="F49" s="12"/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">
      <c r="A50" s="12"/>
      <c r="B50" s="12"/>
      <c r="C50" s="12"/>
      <c r="D50" s="12"/>
      <c r="E50" s="12"/>
      <c r="F50" s="12"/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">
      <c r="A51" s="12"/>
      <c r="B51" s="12"/>
      <c r="C51" s="12"/>
      <c r="D51" s="12"/>
      <c r="E51" s="12"/>
      <c r="F51" s="12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">
      <c r="A52" s="12"/>
      <c r="B52" s="12"/>
      <c r="C52" s="12"/>
      <c r="D52" s="12"/>
      <c r="E52" s="12"/>
      <c r="F52" s="12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">
      <c r="A53" s="12"/>
      <c r="B53" s="12"/>
      <c r="C53" s="12"/>
      <c r="D53" s="12"/>
      <c r="E53" s="12"/>
      <c r="F53" s="12"/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">
      <c r="A54" s="12"/>
      <c r="B54" s="12"/>
      <c r="C54" s="12"/>
      <c r="D54" s="12"/>
      <c r="E54" s="12"/>
      <c r="F54" s="12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">
      <c r="A55" s="12"/>
      <c r="B55" s="12"/>
      <c r="C55" s="12"/>
      <c r="D55" s="12"/>
      <c r="E55" s="12"/>
      <c r="F55" s="12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">
      <c r="A56" s="12"/>
      <c r="B56" s="12"/>
      <c r="C56" s="12"/>
      <c r="D56" s="12"/>
      <c r="E56" s="12"/>
      <c r="F56" s="12"/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">
      <c r="A57" s="12"/>
      <c r="B57" s="12"/>
      <c r="C57" s="12"/>
      <c r="D57" s="12"/>
      <c r="E57" s="12"/>
      <c r="F57" s="12"/>
      <c r="G57" s="1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">
      <c r="A58" s="12"/>
      <c r="B58" s="12"/>
      <c r="C58" s="12"/>
      <c r="D58" s="12"/>
      <c r="E58" s="12"/>
      <c r="F58" s="12"/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">
      <c r="A59" s="12"/>
      <c r="B59" s="12"/>
      <c r="C59" s="12"/>
      <c r="D59" s="12"/>
      <c r="E59" s="12"/>
      <c r="F59" s="12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">
      <c r="A60" s="12"/>
      <c r="B60" s="12"/>
      <c r="C60" s="12"/>
      <c r="D60" s="12"/>
      <c r="E60" s="12"/>
      <c r="F60" s="12"/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">
      <c r="A61" s="12"/>
      <c r="B61" s="12"/>
      <c r="C61" s="12"/>
      <c r="D61" s="12"/>
      <c r="E61" s="12"/>
      <c r="F61" s="12"/>
      <c r="G61" s="1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">
      <c r="A62" s="12"/>
      <c r="B62" s="12"/>
      <c r="C62" s="12"/>
      <c r="D62" s="12"/>
      <c r="E62" s="12"/>
      <c r="F62" s="12"/>
      <c r="G62" s="1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">
      <c r="A63" s="12"/>
      <c r="B63" s="12"/>
      <c r="C63" s="12"/>
      <c r="D63" s="12"/>
      <c r="E63" s="12"/>
      <c r="F63" s="12"/>
      <c r="G63" s="1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">
      <c r="A64" s="12"/>
      <c r="B64" s="12"/>
      <c r="C64" s="12"/>
      <c r="D64" s="12"/>
      <c r="E64" s="12"/>
      <c r="F64" s="12"/>
      <c r="G64" s="1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">
      <c r="A65" s="12"/>
      <c r="B65" s="12"/>
      <c r="C65" s="12"/>
      <c r="D65" s="12"/>
      <c r="E65" s="12"/>
      <c r="F65" s="12"/>
      <c r="G65" s="1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2">
      <c r="A66" s="12"/>
      <c r="B66" s="12"/>
      <c r="C66" s="12"/>
      <c r="D66" s="12"/>
      <c r="E66" s="12"/>
      <c r="F66" s="12"/>
      <c r="G66" s="1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">
      <c r="A67" s="12"/>
      <c r="B67" s="12"/>
      <c r="C67" s="12"/>
      <c r="D67" s="12"/>
      <c r="E67" s="12"/>
      <c r="F67" s="12"/>
      <c r="G67" s="1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">
      <c r="A68" s="12"/>
      <c r="B68" s="12"/>
      <c r="C68" s="12"/>
      <c r="D68" s="12"/>
      <c r="E68" s="12"/>
      <c r="F68" s="12"/>
      <c r="G68" s="1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">
      <c r="A69" s="12"/>
      <c r="B69" s="12"/>
      <c r="C69" s="12"/>
      <c r="D69" s="12"/>
      <c r="E69" s="12"/>
      <c r="F69" s="12"/>
      <c r="G69" s="1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">
      <c r="A70" s="12"/>
      <c r="B70" s="12"/>
      <c r="C70" s="12"/>
      <c r="D70" s="12"/>
      <c r="E70" s="12"/>
      <c r="F70" s="12"/>
      <c r="G70" s="1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2">
      <c r="A71" s="12"/>
      <c r="B71" s="12"/>
      <c r="C71" s="12"/>
      <c r="D71" s="12"/>
      <c r="E71" s="12"/>
      <c r="F71" s="12"/>
      <c r="G71" s="1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">
      <c r="A72" s="12"/>
      <c r="B72" s="12"/>
      <c r="C72" s="12"/>
      <c r="D72" s="12"/>
      <c r="E72" s="12"/>
      <c r="F72" s="12"/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">
      <c r="A73" s="12"/>
      <c r="B73" s="12"/>
      <c r="C73" s="12"/>
      <c r="D73" s="12"/>
      <c r="E73" s="12"/>
      <c r="F73" s="12"/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">
      <c r="A74" s="12"/>
      <c r="B74" s="12"/>
      <c r="C74" s="12"/>
      <c r="D74" s="12"/>
      <c r="E74" s="12"/>
      <c r="F74" s="12"/>
      <c r="G74" s="1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">
      <c r="A75" s="12"/>
      <c r="B75" s="12"/>
      <c r="C75" s="12"/>
      <c r="D75" s="12"/>
      <c r="E75" s="12"/>
      <c r="F75" s="12"/>
      <c r="G75" s="1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">
      <c r="A76" s="12"/>
      <c r="B76" s="12"/>
      <c r="C76" s="12"/>
      <c r="D76" s="12"/>
      <c r="E76" s="12"/>
      <c r="F76" s="12"/>
      <c r="G76" s="1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">
      <c r="A77" s="12"/>
      <c r="B77" s="12"/>
      <c r="C77" s="12"/>
      <c r="D77" s="12"/>
      <c r="E77" s="12"/>
      <c r="F77" s="12"/>
      <c r="G77" s="13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">
      <c r="A78" s="12"/>
      <c r="B78" s="12"/>
      <c r="C78" s="12"/>
      <c r="D78" s="12"/>
      <c r="E78" s="12"/>
      <c r="F78" s="12"/>
      <c r="G78" s="13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2">
      <c r="A79" s="12"/>
      <c r="B79" s="12"/>
      <c r="C79" s="12"/>
      <c r="D79" s="12"/>
      <c r="E79" s="12"/>
      <c r="F79" s="12"/>
      <c r="G79" s="13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">
      <c r="A80" s="12"/>
      <c r="B80" s="12"/>
      <c r="C80" s="12"/>
      <c r="D80" s="12"/>
      <c r="E80" s="12"/>
      <c r="F80" s="12"/>
      <c r="G80" s="1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2">
      <c r="A81" s="12"/>
      <c r="B81" s="12"/>
      <c r="C81" s="12"/>
      <c r="D81" s="12"/>
      <c r="E81" s="12"/>
      <c r="F81" s="12"/>
      <c r="G81" s="13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2">
      <c r="A82" s="12"/>
      <c r="B82" s="12"/>
      <c r="C82" s="12"/>
      <c r="D82" s="12"/>
      <c r="E82" s="12"/>
      <c r="F82" s="12"/>
      <c r="G82" s="13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">
      <c r="A83" s="12"/>
      <c r="B83" s="12"/>
      <c r="C83" s="12"/>
      <c r="D83" s="12"/>
      <c r="E83" s="12"/>
      <c r="F83" s="12"/>
      <c r="G83" s="13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2">
      <c r="A84" s="12"/>
      <c r="B84" s="12"/>
      <c r="C84" s="12"/>
      <c r="D84" s="12"/>
      <c r="E84" s="12"/>
      <c r="F84" s="12"/>
      <c r="G84" s="13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2">
      <c r="A85" s="12"/>
      <c r="B85" s="12"/>
      <c r="C85" s="12"/>
      <c r="D85" s="12"/>
      <c r="E85" s="12"/>
      <c r="F85" s="12"/>
      <c r="G85" s="13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">
      <c r="A86" s="12"/>
      <c r="B86" s="12"/>
      <c r="C86" s="12"/>
      <c r="D86" s="12"/>
      <c r="E86" s="12"/>
      <c r="F86" s="12"/>
      <c r="G86" s="1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">
      <c r="A87" s="12"/>
      <c r="B87" s="12"/>
      <c r="C87" s="12"/>
      <c r="D87" s="12"/>
      <c r="E87" s="12"/>
      <c r="F87" s="12"/>
      <c r="G87" s="13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2">
      <c r="A88" s="12"/>
      <c r="B88" s="12"/>
      <c r="C88" s="12"/>
      <c r="D88" s="12"/>
      <c r="E88" s="12"/>
      <c r="F88" s="12"/>
      <c r="G88" s="13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">
      <c r="A89" s="12"/>
      <c r="B89" s="12"/>
      <c r="C89" s="12"/>
      <c r="D89" s="12"/>
      <c r="E89" s="12"/>
      <c r="F89" s="12"/>
      <c r="G89" s="1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2">
      <c r="A90" s="12"/>
      <c r="B90" s="12"/>
      <c r="C90" s="12"/>
      <c r="D90" s="12"/>
      <c r="E90" s="12"/>
      <c r="F90" s="12"/>
      <c r="G90" s="1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">
      <c r="A91" s="12"/>
      <c r="B91" s="12"/>
      <c r="C91" s="12"/>
      <c r="D91" s="12"/>
      <c r="E91" s="12"/>
      <c r="F91" s="12"/>
      <c r="G91" s="13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">
      <c r="A92" s="12"/>
      <c r="B92" s="12"/>
      <c r="C92" s="12"/>
      <c r="D92" s="12"/>
      <c r="E92" s="12"/>
      <c r="F92" s="12"/>
      <c r="G92" s="1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2">
      <c r="A93" s="12"/>
      <c r="B93" s="12"/>
      <c r="C93" s="12"/>
      <c r="D93" s="12"/>
      <c r="E93" s="12"/>
      <c r="F93" s="12"/>
      <c r="G93" s="1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">
      <c r="A94" s="12"/>
      <c r="B94" s="12"/>
      <c r="C94" s="12"/>
      <c r="D94" s="12"/>
      <c r="E94" s="12"/>
      <c r="F94" s="12"/>
      <c r="G94" s="13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">
      <c r="A95" s="12"/>
      <c r="B95" s="12"/>
      <c r="C95" s="12"/>
      <c r="D95" s="12"/>
      <c r="E95" s="12"/>
      <c r="F95" s="12"/>
      <c r="G95" s="13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">
      <c r="A96" s="12"/>
      <c r="B96" s="12"/>
      <c r="C96" s="12"/>
      <c r="D96" s="12"/>
      <c r="E96" s="12"/>
      <c r="F96" s="12"/>
      <c r="G96" s="13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2">
      <c r="A97" s="12"/>
      <c r="B97" s="12"/>
      <c r="C97" s="12"/>
      <c r="D97" s="12"/>
      <c r="E97" s="12"/>
      <c r="F97" s="12"/>
      <c r="G97" s="13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2">
      <c r="A98" s="12"/>
      <c r="B98" s="12"/>
      <c r="C98" s="12"/>
      <c r="D98" s="12"/>
      <c r="E98" s="12"/>
      <c r="F98" s="12"/>
      <c r="G98" s="1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2">
      <c r="A99" s="12"/>
      <c r="B99" s="12"/>
      <c r="C99" s="12"/>
      <c r="D99" s="12"/>
      <c r="E99" s="12"/>
      <c r="F99" s="12"/>
      <c r="G99" s="13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">
      <c r="A100" s="12"/>
      <c r="B100" s="12"/>
      <c r="C100" s="12"/>
      <c r="D100" s="12"/>
      <c r="E100" s="12"/>
      <c r="F100" s="12"/>
      <c r="G100" s="13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">
      <c r="A101" s="12"/>
      <c r="B101" s="12"/>
      <c r="C101" s="12"/>
      <c r="D101" s="12"/>
      <c r="E101" s="12"/>
      <c r="F101" s="12"/>
      <c r="G101" s="13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x14ac:dyDescent="0.2">
      <c r="A102" s="12"/>
      <c r="B102" s="12"/>
      <c r="C102" s="12"/>
      <c r="D102" s="12"/>
      <c r="E102" s="12"/>
      <c r="F102" s="12"/>
      <c r="G102" s="13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2">
      <c r="A103" s="12"/>
      <c r="B103" s="12"/>
      <c r="C103" s="12"/>
      <c r="D103" s="12"/>
      <c r="E103" s="12"/>
      <c r="F103" s="12"/>
      <c r="G103" s="13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2">
      <c r="A104" s="12"/>
      <c r="B104" s="12"/>
      <c r="C104" s="12"/>
      <c r="D104" s="12"/>
      <c r="E104" s="12"/>
      <c r="F104" s="12"/>
      <c r="G104" s="13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2">
      <c r="A105" s="12"/>
      <c r="B105" s="12"/>
      <c r="C105" s="12"/>
      <c r="D105" s="12"/>
      <c r="E105" s="12"/>
      <c r="F105" s="12"/>
      <c r="G105" s="13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2">
      <c r="A106" s="12"/>
      <c r="B106" s="12"/>
      <c r="C106" s="12"/>
      <c r="D106" s="12"/>
      <c r="E106" s="12"/>
      <c r="F106" s="12"/>
      <c r="G106" s="13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2">
      <c r="A107" s="12"/>
      <c r="B107" s="12"/>
      <c r="C107" s="12"/>
      <c r="D107" s="12"/>
      <c r="E107" s="12"/>
      <c r="F107" s="12"/>
      <c r="G107" s="1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2">
      <c r="A108" s="12"/>
      <c r="B108" s="12"/>
      <c r="C108" s="12"/>
      <c r="D108" s="12"/>
      <c r="E108" s="12"/>
      <c r="F108" s="12"/>
      <c r="G108" s="1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x14ac:dyDescent="0.2">
      <c r="A109" s="12"/>
      <c r="B109" s="12"/>
      <c r="C109" s="12"/>
      <c r="D109" s="12"/>
      <c r="E109" s="12"/>
      <c r="F109" s="12"/>
      <c r="G109" s="1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x14ac:dyDescent="0.2">
      <c r="A110" s="12"/>
      <c r="B110" s="12"/>
      <c r="C110" s="12"/>
      <c r="D110" s="12"/>
      <c r="E110" s="12"/>
      <c r="F110" s="12"/>
      <c r="G110" s="1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x14ac:dyDescent="0.2">
      <c r="A111" s="12"/>
      <c r="B111" s="12"/>
      <c r="C111" s="12"/>
      <c r="D111" s="12"/>
      <c r="E111" s="12"/>
      <c r="F111" s="12"/>
      <c r="G111" s="1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x14ac:dyDescent="0.2">
      <c r="A112" s="12"/>
      <c r="B112" s="12"/>
      <c r="C112" s="12"/>
      <c r="D112" s="12"/>
      <c r="E112" s="12"/>
      <c r="F112" s="12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x14ac:dyDescent="0.2">
      <c r="A113" s="12"/>
      <c r="B113" s="12"/>
      <c r="C113" s="12"/>
      <c r="D113" s="12"/>
      <c r="E113" s="12"/>
      <c r="F113" s="12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x14ac:dyDescent="0.2">
      <c r="A114" s="12"/>
      <c r="B114" s="12"/>
      <c r="C114" s="12"/>
      <c r="D114" s="12"/>
      <c r="E114" s="12"/>
      <c r="F114" s="12"/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x14ac:dyDescent="0.2">
      <c r="A115" s="12"/>
      <c r="B115" s="12"/>
      <c r="C115" s="12"/>
      <c r="D115" s="12"/>
      <c r="E115" s="12"/>
      <c r="F115" s="12"/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">
      <c r="A116" s="12"/>
      <c r="B116" s="12"/>
      <c r="C116" s="12"/>
      <c r="D116" s="12"/>
      <c r="E116" s="12"/>
      <c r="F116" s="12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x14ac:dyDescent="0.2">
      <c r="A117" s="12"/>
      <c r="B117" s="12"/>
      <c r="C117" s="12"/>
      <c r="D117" s="12"/>
      <c r="E117" s="12"/>
      <c r="F117" s="12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">
      <c r="A118" s="12"/>
      <c r="B118" s="12"/>
      <c r="C118" s="12"/>
      <c r="D118" s="12"/>
      <c r="E118" s="12"/>
      <c r="F118" s="12"/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x14ac:dyDescent="0.2">
      <c r="A119" s="12"/>
      <c r="B119" s="12"/>
      <c r="C119" s="12"/>
      <c r="D119" s="12"/>
      <c r="E119" s="12"/>
      <c r="F119" s="12"/>
      <c r="G119" s="1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x14ac:dyDescent="0.2">
      <c r="A120" s="12"/>
      <c r="B120" s="12"/>
      <c r="C120" s="12"/>
      <c r="D120" s="12"/>
      <c r="E120" s="12"/>
      <c r="F120" s="12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x14ac:dyDescent="0.2">
      <c r="A121" s="12"/>
      <c r="B121" s="12"/>
      <c r="C121" s="12"/>
      <c r="D121" s="12"/>
      <c r="E121" s="12"/>
      <c r="F121" s="12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x14ac:dyDescent="0.2">
      <c r="A122" s="12"/>
      <c r="B122" s="12"/>
      <c r="C122" s="12"/>
      <c r="D122" s="12"/>
      <c r="E122" s="12"/>
      <c r="F122" s="12"/>
      <c r="G122" s="1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x14ac:dyDescent="0.2">
      <c r="A123" s="12"/>
      <c r="B123" s="12"/>
      <c r="C123" s="12"/>
      <c r="D123" s="12"/>
      <c r="E123" s="12"/>
      <c r="F123" s="12"/>
      <c r="G123" s="1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x14ac:dyDescent="0.2">
      <c r="A124" s="12"/>
      <c r="B124" s="12"/>
      <c r="C124" s="12"/>
      <c r="D124" s="12"/>
      <c r="E124" s="12"/>
      <c r="F124" s="12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x14ac:dyDescent="0.2">
      <c r="A125" s="12"/>
      <c r="B125" s="12"/>
      <c r="C125" s="12"/>
      <c r="D125" s="12"/>
      <c r="E125" s="12"/>
      <c r="F125" s="12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x14ac:dyDescent="0.2">
      <c r="A126" s="12"/>
      <c r="B126" s="12"/>
      <c r="C126" s="12"/>
      <c r="D126" s="12"/>
      <c r="E126" s="12"/>
      <c r="F126" s="12"/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x14ac:dyDescent="0.2">
      <c r="A127" s="12"/>
      <c r="B127" s="12"/>
      <c r="C127" s="12"/>
      <c r="D127" s="12"/>
      <c r="E127" s="12"/>
      <c r="F127" s="12"/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x14ac:dyDescent="0.2">
      <c r="A128" s="12"/>
      <c r="B128" s="12"/>
      <c r="C128" s="12"/>
      <c r="D128" s="12"/>
      <c r="E128" s="12"/>
      <c r="F128" s="12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x14ac:dyDescent="0.2">
      <c r="A129" s="12"/>
      <c r="B129" s="12"/>
      <c r="C129" s="12"/>
      <c r="D129" s="12"/>
      <c r="E129" s="12"/>
      <c r="F129" s="12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x14ac:dyDescent="0.2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x14ac:dyDescent="0.2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x14ac:dyDescent="0.2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x14ac:dyDescent="0.2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x14ac:dyDescent="0.2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x14ac:dyDescent="0.2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x14ac:dyDescent="0.2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x14ac:dyDescent="0.2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x14ac:dyDescent="0.2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x14ac:dyDescent="0.2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x14ac:dyDescent="0.2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x14ac:dyDescent="0.2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x14ac:dyDescent="0.2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x14ac:dyDescent="0.2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x14ac:dyDescent="0.2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x14ac:dyDescent="0.2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x14ac:dyDescent="0.2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x14ac:dyDescent="0.2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x14ac:dyDescent="0.2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x14ac:dyDescent="0.2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x14ac:dyDescent="0.2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x14ac:dyDescent="0.2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x14ac:dyDescent="0.2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x14ac:dyDescent="0.2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x14ac:dyDescent="0.2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x14ac:dyDescent="0.2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x14ac:dyDescent="0.2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x14ac:dyDescent="0.2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x14ac:dyDescent="0.2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x14ac:dyDescent="0.2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x14ac:dyDescent="0.2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x14ac:dyDescent="0.2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x14ac:dyDescent="0.2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x14ac:dyDescent="0.2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x14ac:dyDescent="0.2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x14ac:dyDescent="0.2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x14ac:dyDescent="0.2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x14ac:dyDescent="0.2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x14ac:dyDescent="0.2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x14ac:dyDescent="0.2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x14ac:dyDescent="0.2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x14ac:dyDescent="0.2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x14ac:dyDescent="0.2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x14ac:dyDescent="0.2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x14ac:dyDescent="0.2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x14ac:dyDescent="0.2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x14ac:dyDescent="0.2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x14ac:dyDescent="0.2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x14ac:dyDescent="0.2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x14ac:dyDescent="0.2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x14ac:dyDescent="0.2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x14ac:dyDescent="0.2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x14ac:dyDescent="0.2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x14ac:dyDescent="0.2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x14ac:dyDescent="0.2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x14ac:dyDescent="0.2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x14ac:dyDescent="0.2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x14ac:dyDescent="0.2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x14ac:dyDescent="0.2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x14ac:dyDescent="0.2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x14ac:dyDescent="0.2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x14ac:dyDescent="0.2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x14ac:dyDescent="0.2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x14ac:dyDescent="0.2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x14ac:dyDescent="0.2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x14ac:dyDescent="0.2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x14ac:dyDescent="0.2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x14ac:dyDescent="0.2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x14ac:dyDescent="0.2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x14ac:dyDescent="0.2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x14ac:dyDescent="0.2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x14ac:dyDescent="0.2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x14ac:dyDescent="0.2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x14ac:dyDescent="0.2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x14ac:dyDescent="0.2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x14ac:dyDescent="0.2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x14ac:dyDescent="0.2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x14ac:dyDescent="0.2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x14ac:dyDescent="0.2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x14ac:dyDescent="0.2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x14ac:dyDescent="0.2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x14ac:dyDescent="0.2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x14ac:dyDescent="0.2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x14ac:dyDescent="0.2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x14ac:dyDescent="0.2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x14ac:dyDescent="0.2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x14ac:dyDescent="0.2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x14ac:dyDescent="0.2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x14ac:dyDescent="0.2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x14ac:dyDescent="0.2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x14ac:dyDescent="0.2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x14ac:dyDescent="0.2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x14ac:dyDescent="0.2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x14ac:dyDescent="0.2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x14ac:dyDescent="0.2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x14ac:dyDescent="0.2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x14ac:dyDescent="0.2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x14ac:dyDescent="0.2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x14ac:dyDescent="0.2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x14ac:dyDescent="0.2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x14ac:dyDescent="0.2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x14ac:dyDescent="0.2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x14ac:dyDescent="0.2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x14ac:dyDescent="0.2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x14ac:dyDescent="0.2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x14ac:dyDescent="0.2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x14ac:dyDescent="0.2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x14ac:dyDescent="0.2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x14ac:dyDescent="0.2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x14ac:dyDescent="0.2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x14ac:dyDescent="0.2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x14ac:dyDescent="0.2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x14ac:dyDescent="0.2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x14ac:dyDescent="0.2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x14ac:dyDescent="0.2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x14ac:dyDescent="0.2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x14ac:dyDescent="0.2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x14ac:dyDescent="0.2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x14ac:dyDescent="0.2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x14ac:dyDescent="0.2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x14ac:dyDescent="0.2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x14ac:dyDescent="0.2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x14ac:dyDescent="0.2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x14ac:dyDescent="0.2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x14ac:dyDescent="0.2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x14ac:dyDescent="0.2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x14ac:dyDescent="0.2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x14ac:dyDescent="0.2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x14ac:dyDescent="0.2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">
      <c r="A498" s="12"/>
      <c r="B498" s="12"/>
      <c r="C498" s="12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">
      <c r="A499" s="12"/>
      <c r="B499" s="12"/>
      <c r="C499" s="12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">
      <c r="A500" s="12"/>
      <c r="B500" s="12"/>
      <c r="C500" s="12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">
      <c r="A501" s="12"/>
      <c r="B501" s="12"/>
      <c r="C501" s="12"/>
      <c r="D501" s="12"/>
      <c r="E501" s="12"/>
      <c r="F501" s="12"/>
      <c r="G501" s="13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">
      <c r="A502" s="12"/>
      <c r="B502" s="12"/>
      <c r="C502" s="12"/>
      <c r="D502" s="12"/>
      <c r="E502" s="12"/>
      <c r="F502" s="12"/>
      <c r="G502" s="13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x14ac:dyDescent="0.2">
      <c r="A503" s="12"/>
      <c r="B503" s="12"/>
      <c r="C503" s="12"/>
      <c r="D503" s="12"/>
      <c r="E503" s="12"/>
      <c r="F503" s="12"/>
      <c r="G503" s="13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x14ac:dyDescent="0.2">
      <c r="A504" s="12"/>
      <c r="B504" s="12"/>
      <c r="C504" s="12"/>
      <c r="D504" s="12"/>
      <c r="E504" s="12"/>
      <c r="F504" s="12"/>
      <c r="G504" s="13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x14ac:dyDescent="0.2">
      <c r="A505" s="12"/>
      <c r="B505" s="12"/>
      <c r="C505" s="12"/>
      <c r="D505" s="12"/>
      <c r="E505" s="12"/>
      <c r="F505" s="12"/>
      <c r="G505" s="13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x14ac:dyDescent="0.2">
      <c r="A506" s="12"/>
      <c r="B506" s="12"/>
      <c r="C506" s="12"/>
      <c r="D506" s="12"/>
      <c r="E506" s="12"/>
      <c r="F506" s="12"/>
      <c r="G506" s="13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">
      <c r="A507" s="12"/>
      <c r="B507" s="12"/>
      <c r="C507" s="12"/>
      <c r="D507" s="12"/>
      <c r="E507" s="12"/>
      <c r="F507" s="12"/>
      <c r="G507" s="13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">
      <c r="A508" s="12"/>
      <c r="B508" s="12"/>
      <c r="C508" s="12"/>
      <c r="D508" s="12"/>
      <c r="E508" s="12"/>
      <c r="F508" s="12"/>
      <c r="G508" s="13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">
      <c r="A509" s="12"/>
      <c r="B509" s="12"/>
      <c r="C509" s="12"/>
      <c r="D509" s="12"/>
      <c r="E509" s="12"/>
      <c r="F509" s="12"/>
      <c r="G509" s="13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">
      <c r="A510" s="12"/>
      <c r="B510" s="12"/>
      <c r="C510" s="12"/>
      <c r="D510" s="12"/>
      <c r="E510" s="12"/>
      <c r="F510" s="12"/>
      <c r="G510" s="1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">
      <c r="A511" s="12"/>
      <c r="B511" s="12"/>
      <c r="C511" s="12"/>
      <c r="D511" s="12"/>
      <c r="E511" s="12"/>
      <c r="F511" s="12"/>
      <c r="G511" s="1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">
      <c r="A512" s="12"/>
      <c r="B512" s="12"/>
      <c r="C512" s="12"/>
      <c r="D512" s="12"/>
      <c r="E512" s="12"/>
      <c r="F512" s="12"/>
      <c r="G512" s="13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">
      <c r="A513" s="12"/>
      <c r="B513" s="12"/>
      <c r="C513" s="12"/>
      <c r="D513" s="12"/>
      <c r="E513" s="12"/>
      <c r="F513" s="12"/>
      <c r="G513" s="13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">
      <c r="A514" s="12"/>
      <c r="B514" s="12"/>
      <c r="C514" s="12"/>
      <c r="D514" s="12"/>
      <c r="E514" s="12"/>
      <c r="F514" s="12"/>
      <c r="G514" s="13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">
      <c r="A515" s="12"/>
      <c r="B515" s="12"/>
      <c r="C515" s="12"/>
      <c r="D515" s="12"/>
      <c r="E515" s="12"/>
      <c r="F515" s="12"/>
      <c r="G515" s="13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">
      <c r="A516" s="12"/>
      <c r="B516" s="12"/>
      <c r="C516" s="12"/>
      <c r="D516" s="12"/>
      <c r="E516" s="12"/>
      <c r="F516" s="12"/>
      <c r="G516" s="13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">
      <c r="A517" s="12"/>
      <c r="B517" s="12"/>
      <c r="C517" s="12"/>
      <c r="D517" s="12"/>
      <c r="E517" s="12"/>
      <c r="F517" s="12"/>
      <c r="G517" s="13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">
      <c r="A518" s="12"/>
      <c r="B518" s="12"/>
      <c r="C518" s="12"/>
      <c r="D518" s="12"/>
      <c r="E518" s="12"/>
      <c r="F518" s="12"/>
      <c r="G518" s="13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">
      <c r="A519" s="12"/>
      <c r="B519" s="12"/>
      <c r="C519" s="12"/>
      <c r="D519" s="12"/>
      <c r="E519" s="12"/>
      <c r="F519" s="12"/>
      <c r="G519" s="13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">
      <c r="A520" s="12"/>
      <c r="B520" s="12"/>
      <c r="C520" s="12"/>
      <c r="D520" s="12"/>
      <c r="E520" s="12"/>
      <c r="F520" s="12"/>
      <c r="G520" s="13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">
      <c r="A521" s="12"/>
      <c r="B521" s="12"/>
      <c r="C521" s="12"/>
      <c r="D521" s="12"/>
      <c r="E521" s="12"/>
      <c r="F521" s="12"/>
      <c r="G521" s="13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">
      <c r="A522" s="12"/>
      <c r="B522" s="12"/>
      <c r="C522" s="12"/>
      <c r="D522" s="12"/>
      <c r="E522" s="12"/>
      <c r="F522" s="12"/>
      <c r="G522" s="13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">
      <c r="A523" s="12"/>
      <c r="B523" s="12"/>
      <c r="C523" s="12"/>
      <c r="D523" s="12"/>
      <c r="E523" s="12"/>
      <c r="F523" s="12"/>
      <c r="G523" s="13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">
      <c r="A524" s="12"/>
      <c r="B524" s="12"/>
      <c r="C524" s="12"/>
      <c r="D524" s="12"/>
      <c r="E524" s="12"/>
      <c r="F524" s="12"/>
      <c r="G524" s="13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x14ac:dyDescent="0.2">
      <c r="A525" s="12"/>
      <c r="B525" s="12"/>
      <c r="C525" s="12"/>
      <c r="D525" s="12"/>
      <c r="E525" s="12"/>
      <c r="F525" s="12"/>
      <c r="G525" s="13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">
      <c r="A526" s="12"/>
      <c r="B526" s="12"/>
      <c r="C526" s="12"/>
      <c r="D526" s="12"/>
      <c r="E526" s="12"/>
      <c r="F526" s="12"/>
      <c r="G526" s="13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">
      <c r="A527" s="12"/>
      <c r="B527" s="12"/>
      <c r="C527" s="12"/>
      <c r="D527" s="12"/>
      <c r="E527" s="12"/>
      <c r="F527" s="12"/>
      <c r="G527" s="13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">
      <c r="A528" s="12"/>
      <c r="B528" s="12"/>
      <c r="C528" s="12"/>
      <c r="D528" s="12"/>
      <c r="E528" s="12"/>
      <c r="F528" s="12"/>
      <c r="G528" s="13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">
      <c r="A529" s="12"/>
      <c r="B529" s="12"/>
      <c r="C529" s="12"/>
      <c r="D529" s="12"/>
      <c r="E529" s="12"/>
      <c r="F529" s="12"/>
      <c r="G529" s="13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">
      <c r="A530" s="12"/>
      <c r="B530" s="12"/>
      <c r="C530" s="12"/>
      <c r="D530" s="12"/>
      <c r="E530" s="12"/>
      <c r="F530" s="12"/>
      <c r="G530" s="13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">
      <c r="A531" s="12"/>
      <c r="B531" s="12"/>
      <c r="C531" s="12"/>
      <c r="D531" s="12"/>
      <c r="E531" s="12"/>
      <c r="F531" s="12"/>
      <c r="G531" s="13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">
      <c r="A532" s="12"/>
      <c r="B532" s="12"/>
      <c r="C532" s="12"/>
      <c r="D532" s="12"/>
      <c r="E532" s="12"/>
      <c r="F532" s="12"/>
      <c r="G532" s="13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">
      <c r="A533" s="12"/>
      <c r="B533" s="12"/>
      <c r="C533" s="12"/>
      <c r="D533" s="12"/>
      <c r="E533" s="12"/>
      <c r="F533" s="12"/>
      <c r="G533" s="13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">
      <c r="A534" s="12"/>
      <c r="B534" s="12"/>
      <c r="C534" s="12"/>
      <c r="D534" s="12"/>
      <c r="E534" s="12"/>
      <c r="F534" s="12"/>
      <c r="G534" s="13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">
      <c r="A535" s="12"/>
      <c r="B535" s="12"/>
      <c r="C535" s="12"/>
      <c r="D535" s="12"/>
      <c r="E535" s="12"/>
      <c r="F535" s="12"/>
      <c r="G535" s="13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">
      <c r="A536" s="12"/>
      <c r="B536" s="12"/>
      <c r="C536" s="12"/>
      <c r="D536" s="12"/>
      <c r="E536" s="12"/>
      <c r="F536" s="12"/>
      <c r="G536" s="13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">
      <c r="A537" s="12"/>
      <c r="B537" s="12"/>
      <c r="C537" s="12"/>
      <c r="D537" s="12"/>
      <c r="E537" s="12"/>
      <c r="F537" s="12"/>
      <c r="G537" s="13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">
      <c r="A538" s="12"/>
      <c r="B538" s="12"/>
      <c r="C538" s="12"/>
      <c r="D538" s="12"/>
      <c r="E538" s="12"/>
      <c r="F538" s="12"/>
      <c r="G538" s="13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x14ac:dyDescent="0.2">
      <c r="A539" s="12"/>
      <c r="B539" s="12"/>
      <c r="C539" s="12"/>
      <c r="D539" s="12"/>
      <c r="E539" s="12"/>
      <c r="F539" s="12"/>
      <c r="G539" s="13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">
      <c r="A540" s="12"/>
      <c r="B540" s="12"/>
      <c r="C540" s="12"/>
      <c r="D540" s="12"/>
      <c r="E540" s="12"/>
      <c r="F540" s="12"/>
      <c r="G540" s="13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">
      <c r="A541" s="12"/>
      <c r="B541" s="12"/>
      <c r="C541" s="12"/>
      <c r="D541" s="12"/>
      <c r="E541" s="12"/>
      <c r="F541" s="12"/>
      <c r="G541" s="1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">
      <c r="A542" s="12"/>
      <c r="B542" s="12"/>
      <c r="C542" s="12"/>
      <c r="D542" s="12"/>
      <c r="E542" s="12"/>
      <c r="F542" s="12"/>
      <c r="G542" s="13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">
      <c r="A543" s="12"/>
      <c r="B543" s="12"/>
      <c r="C543" s="12"/>
      <c r="D543" s="12"/>
      <c r="E543" s="12"/>
      <c r="F543" s="12"/>
      <c r="G543" s="13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">
      <c r="A544" s="12"/>
      <c r="B544" s="12"/>
      <c r="C544" s="12"/>
      <c r="D544" s="12"/>
      <c r="E544" s="12"/>
      <c r="F544" s="12"/>
      <c r="G544" s="13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">
      <c r="A545" s="12"/>
      <c r="B545" s="12"/>
      <c r="C545" s="12"/>
      <c r="D545" s="12"/>
      <c r="E545" s="12"/>
      <c r="F545" s="12"/>
      <c r="G545" s="13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">
      <c r="A546" s="12"/>
      <c r="B546" s="12"/>
      <c r="C546" s="12"/>
      <c r="D546" s="12"/>
      <c r="E546" s="12"/>
      <c r="F546" s="12"/>
      <c r="G546" s="13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">
      <c r="A547" s="12"/>
      <c r="B547" s="12"/>
      <c r="C547" s="12"/>
      <c r="D547" s="12"/>
      <c r="E547" s="12"/>
      <c r="F547" s="12"/>
      <c r="G547" s="13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x14ac:dyDescent="0.2">
      <c r="A548" s="12"/>
      <c r="B548" s="12"/>
      <c r="C548" s="12"/>
      <c r="D548" s="12"/>
      <c r="E548" s="12"/>
      <c r="F548" s="12"/>
      <c r="G548" s="13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">
      <c r="A549" s="12"/>
      <c r="B549" s="12"/>
      <c r="C549" s="12"/>
      <c r="D549" s="12"/>
      <c r="E549" s="12"/>
      <c r="F549" s="12"/>
      <c r="G549" s="13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">
      <c r="A550" s="12"/>
      <c r="B550" s="12"/>
      <c r="C550" s="12"/>
      <c r="D550" s="12"/>
      <c r="E550" s="12"/>
      <c r="F550" s="12"/>
      <c r="G550" s="13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">
      <c r="A551" s="12"/>
      <c r="B551" s="12"/>
      <c r="C551" s="12"/>
      <c r="D551" s="12"/>
      <c r="E551" s="12"/>
      <c r="F551" s="12"/>
      <c r="G551" s="13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">
      <c r="A552" s="12"/>
      <c r="B552" s="12"/>
      <c r="C552" s="12"/>
      <c r="D552" s="12"/>
      <c r="E552" s="12"/>
      <c r="F552" s="12"/>
      <c r="G552" s="13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">
      <c r="A553" s="12"/>
      <c r="B553" s="12"/>
      <c r="C553" s="12"/>
      <c r="D553" s="12"/>
      <c r="E553" s="12"/>
      <c r="F553" s="12"/>
      <c r="G553" s="13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">
      <c r="A554" s="12"/>
      <c r="B554" s="12"/>
      <c r="C554" s="12"/>
      <c r="D554" s="12"/>
      <c r="E554" s="12"/>
      <c r="F554" s="12"/>
      <c r="G554" s="13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x14ac:dyDescent="0.2">
      <c r="A555" s="12"/>
      <c r="B555" s="12"/>
      <c r="C555" s="12"/>
      <c r="D555" s="12"/>
      <c r="E555" s="12"/>
      <c r="F555" s="12"/>
      <c r="G555" s="13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x14ac:dyDescent="0.2">
      <c r="A556" s="12"/>
      <c r="B556" s="12"/>
      <c r="C556" s="12"/>
      <c r="D556" s="12"/>
      <c r="E556" s="12"/>
      <c r="F556" s="12"/>
      <c r="G556" s="13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">
      <c r="A557" s="12"/>
      <c r="B557" s="12"/>
      <c r="C557" s="12"/>
      <c r="D557" s="12"/>
      <c r="E557" s="12"/>
      <c r="F557" s="12"/>
      <c r="G557" s="13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">
      <c r="A558" s="12"/>
      <c r="B558" s="12"/>
      <c r="C558" s="12"/>
      <c r="D558" s="12"/>
      <c r="E558" s="12"/>
      <c r="F558" s="12"/>
      <c r="G558" s="13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">
      <c r="A559" s="12"/>
      <c r="B559" s="12"/>
      <c r="C559" s="12"/>
      <c r="D559" s="12"/>
      <c r="E559" s="12"/>
      <c r="F559" s="12"/>
      <c r="G559" s="13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">
      <c r="A560" s="12"/>
      <c r="B560" s="12"/>
      <c r="C560" s="12"/>
      <c r="D560" s="12"/>
      <c r="E560" s="12"/>
      <c r="F560" s="12"/>
      <c r="G560" s="13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">
      <c r="A561" s="12"/>
      <c r="B561" s="12"/>
      <c r="C561" s="12"/>
      <c r="D561" s="12"/>
      <c r="E561" s="12"/>
      <c r="F561" s="12"/>
      <c r="G561" s="13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">
      <c r="A562" s="12"/>
      <c r="B562" s="12"/>
      <c r="C562" s="12"/>
      <c r="D562" s="12"/>
      <c r="E562" s="12"/>
      <c r="F562" s="12"/>
      <c r="G562" s="13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">
      <c r="A563" s="12"/>
      <c r="B563" s="12"/>
      <c r="C563" s="12"/>
      <c r="D563" s="12"/>
      <c r="E563" s="12"/>
      <c r="F563" s="12"/>
      <c r="G563" s="13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">
      <c r="A564" s="12"/>
      <c r="B564" s="12"/>
      <c r="C564" s="12"/>
      <c r="D564" s="12"/>
      <c r="E564" s="12"/>
      <c r="F564" s="12"/>
      <c r="G564" s="13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">
      <c r="A565" s="12"/>
      <c r="B565" s="12"/>
      <c r="C565" s="12"/>
      <c r="D565" s="12"/>
      <c r="E565" s="12"/>
      <c r="F565" s="12"/>
      <c r="G565" s="13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">
      <c r="A566" s="12"/>
      <c r="B566" s="12"/>
      <c r="C566" s="12"/>
      <c r="D566" s="12"/>
      <c r="E566" s="12"/>
      <c r="F566" s="12"/>
      <c r="G566" s="13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">
      <c r="A567" s="12"/>
      <c r="B567" s="12"/>
      <c r="C567" s="12"/>
      <c r="D567" s="12"/>
      <c r="E567" s="12"/>
      <c r="F567" s="12"/>
      <c r="G567" s="13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">
      <c r="A568" s="12"/>
      <c r="B568" s="12"/>
      <c r="C568" s="12"/>
      <c r="D568" s="12"/>
      <c r="E568" s="12"/>
      <c r="F568" s="12"/>
      <c r="G568" s="13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">
      <c r="A569" s="12"/>
      <c r="B569" s="12"/>
      <c r="C569" s="12"/>
      <c r="D569" s="12"/>
      <c r="E569" s="12"/>
      <c r="F569" s="12"/>
      <c r="G569" s="13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">
      <c r="A570" s="12"/>
      <c r="B570" s="12"/>
      <c r="C570" s="12"/>
      <c r="D570" s="12"/>
      <c r="E570" s="12"/>
      <c r="F570" s="12"/>
      <c r="G570" s="13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x14ac:dyDescent="0.2">
      <c r="A571" s="12"/>
      <c r="B571" s="12"/>
      <c r="C571" s="12"/>
      <c r="D571" s="12"/>
      <c r="E571" s="12"/>
      <c r="F571" s="12"/>
      <c r="G571" s="13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">
      <c r="A572" s="12"/>
      <c r="B572" s="12"/>
      <c r="C572" s="12"/>
      <c r="D572" s="12"/>
      <c r="E572" s="12"/>
      <c r="F572" s="12"/>
      <c r="G572" s="1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">
      <c r="A573" s="12"/>
      <c r="B573" s="12"/>
      <c r="C573" s="12"/>
      <c r="D573" s="12"/>
      <c r="E573" s="12"/>
      <c r="F573" s="12"/>
      <c r="G573" s="13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">
      <c r="A574" s="12"/>
      <c r="B574" s="12"/>
      <c r="C574" s="12"/>
      <c r="D574" s="12"/>
      <c r="E574" s="12"/>
      <c r="F574" s="12"/>
      <c r="G574" s="13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">
      <c r="A575" s="12"/>
      <c r="B575" s="12"/>
      <c r="C575" s="12"/>
      <c r="D575" s="12"/>
      <c r="E575" s="12"/>
      <c r="F575" s="12"/>
      <c r="G575" s="13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">
      <c r="A576" s="12"/>
      <c r="B576" s="12"/>
      <c r="C576" s="12"/>
      <c r="D576" s="12"/>
      <c r="E576" s="12"/>
      <c r="F576" s="12"/>
      <c r="G576" s="13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">
      <c r="A577" s="12"/>
      <c r="B577" s="12"/>
      <c r="C577" s="12"/>
      <c r="D577" s="12"/>
      <c r="E577" s="12"/>
      <c r="F577" s="12"/>
      <c r="G577" s="13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">
      <c r="A578" s="12"/>
      <c r="B578" s="12"/>
      <c r="C578" s="12"/>
      <c r="D578" s="12"/>
      <c r="E578" s="12"/>
      <c r="F578" s="12"/>
      <c r="G578" s="13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">
      <c r="A579" s="12"/>
      <c r="B579" s="12"/>
      <c r="C579" s="12"/>
      <c r="D579" s="12"/>
      <c r="E579" s="12"/>
      <c r="F579" s="12"/>
      <c r="G579" s="13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x14ac:dyDescent="0.2">
      <c r="A580" s="12"/>
      <c r="B580" s="12"/>
      <c r="C580" s="12"/>
      <c r="D580" s="12"/>
      <c r="E580" s="12"/>
      <c r="F580" s="12"/>
      <c r="G580" s="13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">
      <c r="A581" s="12"/>
      <c r="B581" s="12"/>
      <c r="C581" s="12"/>
      <c r="D581" s="12"/>
      <c r="E581" s="12"/>
      <c r="F581" s="12"/>
      <c r="G581" s="13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">
      <c r="A582" s="12"/>
      <c r="B582" s="12"/>
      <c r="C582" s="12"/>
      <c r="D582" s="12"/>
      <c r="E582" s="12"/>
      <c r="F582" s="12"/>
      <c r="G582" s="13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">
      <c r="A583" s="12"/>
      <c r="B583" s="12"/>
      <c r="C583" s="12"/>
      <c r="D583" s="12"/>
      <c r="E583" s="12"/>
      <c r="F583" s="12"/>
      <c r="G583" s="1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">
      <c r="A584" s="12"/>
      <c r="B584" s="12"/>
      <c r="C584" s="12"/>
      <c r="D584" s="12"/>
      <c r="E584" s="12"/>
      <c r="F584" s="12"/>
      <c r="G584" s="1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">
      <c r="A585" s="12"/>
      <c r="B585" s="12"/>
      <c r="C585" s="12"/>
      <c r="D585" s="12"/>
      <c r="E585" s="12"/>
      <c r="F585" s="12"/>
      <c r="G585" s="13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">
      <c r="A586" s="12"/>
      <c r="B586" s="12"/>
      <c r="C586" s="12"/>
      <c r="D586" s="12"/>
      <c r="E586" s="12"/>
      <c r="F586" s="12"/>
      <c r="G586" s="13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">
      <c r="A587" s="12"/>
      <c r="B587" s="12"/>
      <c r="C587" s="12"/>
      <c r="D587" s="12"/>
      <c r="E587" s="12"/>
      <c r="F587" s="12"/>
      <c r="G587" s="13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">
      <c r="A588" s="12"/>
      <c r="B588" s="12"/>
      <c r="C588" s="12"/>
      <c r="D588" s="12"/>
      <c r="E588" s="12"/>
      <c r="F588" s="12"/>
      <c r="G588" s="13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">
      <c r="A589" s="12"/>
      <c r="B589" s="12"/>
      <c r="C589" s="12"/>
      <c r="D589" s="12"/>
      <c r="E589" s="12"/>
      <c r="F589" s="12"/>
      <c r="G589" s="1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">
      <c r="A590" s="12"/>
      <c r="B590" s="12"/>
      <c r="C590" s="12"/>
      <c r="D590" s="12"/>
      <c r="E590" s="12"/>
      <c r="F590" s="12"/>
      <c r="G590" s="1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">
      <c r="A591" s="12"/>
      <c r="B591" s="12"/>
      <c r="C591" s="12"/>
      <c r="D591" s="12"/>
      <c r="E591" s="12"/>
      <c r="F591" s="12"/>
      <c r="G591" s="13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">
      <c r="A592" s="12"/>
      <c r="B592" s="12"/>
      <c r="C592" s="12"/>
      <c r="D592" s="12"/>
      <c r="E592" s="12"/>
      <c r="F592" s="12"/>
      <c r="G592" s="13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x14ac:dyDescent="0.2">
      <c r="A593" s="12"/>
      <c r="B593" s="12"/>
      <c r="C593" s="12"/>
      <c r="D593" s="12"/>
      <c r="E593" s="12"/>
      <c r="F593" s="12"/>
      <c r="G593" s="13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">
      <c r="A594" s="12"/>
      <c r="B594" s="12"/>
      <c r="C594" s="12"/>
      <c r="D594" s="12"/>
      <c r="E594" s="12"/>
      <c r="F594" s="12"/>
      <c r="G594" s="13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">
      <c r="A595" s="12"/>
      <c r="B595" s="12"/>
      <c r="C595" s="12"/>
      <c r="D595" s="12"/>
      <c r="E595" s="12"/>
      <c r="F595" s="12"/>
      <c r="G595" s="13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">
      <c r="A596" s="12"/>
      <c r="B596" s="12"/>
      <c r="C596" s="12"/>
      <c r="D596" s="12"/>
      <c r="E596" s="12"/>
      <c r="F596" s="12"/>
      <c r="G596" s="13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">
      <c r="A597" s="12"/>
      <c r="B597" s="12"/>
      <c r="C597" s="12"/>
      <c r="D597" s="12"/>
      <c r="E597" s="12"/>
      <c r="F597" s="12"/>
      <c r="G597" s="13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">
      <c r="A598" s="12"/>
      <c r="B598" s="12"/>
      <c r="C598" s="12"/>
      <c r="D598" s="12"/>
      <c r="E598" s="12"/>
      <c r="F598" s="12"/>
      <c r="G598" s="13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">
      <c r="A599" s="12"/>
      <c r="B599" s="12"/>
      <c r="C599" s="12"/>
      <c r="D599" s="12"/>
      <c r="E599" s="12"/>
      <c r="F599" s="12"/>
      <c r="G599" s="13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">
      <c r="A600" s="12"/>
      <c r="B600" s="12"/>
      <c r="C600" s="12"/>
      <c r="D600" s="12"/>
      <c r="E600" s="12"/>
      <c r="F600" s="12"/>
      <c r="G600" s="13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">
      <c r="A601" s="12"/>
      <c r="B601" s="12"/>
      <c r="C601" s="12"/>
      <c r="D601" s="12"/>
      <c r="E601" s="12"/>
      <c r="F601" s="12"/>
      <c r="G601" s="13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x14ac:dyDescent="0.2">
      <c r="A602" s="12"/>
      <c r="B602" s="12"/>
      <c r="C602" s="12"/>
      <c r="D602" s="12"/>
      <c r="E602" s="12"/>
      <c r="F602" s="12"/>
      <c r="G602" s="13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x14ac:dyDescent="0.2">
      <c r="A603" s="12"/>
      <c r="B603" s="12"/>
      <c r="C603" s="12"/>
      <c r="D603" s="12"/>
      <c r="E603" s="12"/>
      <c r="F603" s="12"/>
      <c r="G603" s="1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x14ac:dyDescent="0.2">
      <c r="A604" s="12"/>
      <c r="B604" s="12"/>
      <c r="C604" s="12"/>
      <c r="D604" s="12"/>
      <c r="E604" s="12"/>
      <c r="F604" s="12"/>
      <c r="G604" s="13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x14ac:dyDescent="0.2">
      <c r="A605" s="12"/>
      <c r="B605" s="12"/>
      <c r="C605" s="12"/>
      <c r="D605" s="12"/>
      <c r="E605" s="12"/>
      <c r="F605" s="12"/>
      <c r="G605" s="13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x14ac:dyDescent="0.2">
      <c r="A606" s="12"/>
      <c r="B606" s="12"/>
      <c r="C606" s="12"/>
      <c r="D606" s="12"/>
      <c r="E606" s="12"/>
      <c r="F606" s="12"/>
      <c r="G606" s="13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x14ac:dyDescent="0.2">
      <c r="A607" s="12"/>
      <c r="B607" s="12"/>
      <c r="C607" s="12"/>
      <c r="D607" s="12"/>
      <c r="E607" s="12"/>
      <c r="F607" s="12"/>
      <c r="G607" s="13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x14ac:dyDescent="0.2">
      <c r="A608" s="12"/>
      <c r="B608" s="12"/>
      <c r="C608" s="12"/>
      <c r="D608" s="12"/>
      <c r="E608" s="12"/>
      <c r="F608" s="12"/>
      <c r="G608" s="13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x14ac:dyDescent="0.2">
      <c r="A609" s="12"/>
      <c r="B609" s="12"/>
      <c r="C609" s="12"/>
      <c r="D609" s="12"/>
      <c r="E609" s="12"/>
      <c r="F609" s="12"/>
      <c r="G609" s="13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x14ac:dyDescent="0.2">
      <c r="A610" s="12"/>
      <c r="B610" s="12"/>
      <c r="C610" s="12"/>
      <c r="D610" s="12"/>
      <c r="E610" s="12"/>
      <c r="F610" s="12"/>
      <c r="G610" s="13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x14ac:dyDescent="0.2">
      <c r="A611" s="12"/>
      <c r="B611" s="12"/>
      <c r="C611" s="12"/>
      <c r="D611" s="12"/>
      <c r="E611" s="12"/>
      <c r="F611" s="12"/>
      <c r="G611" s="13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x14ac:dyDescent="0.2">
      <c r="A612" s="12"/>
      <c r="B612" s="12"/>
      <c r="C612" s="12"/>
      <c r="D612" s="12"/>
      <c r="E612" s="12"/>
      <c r="F612" s="12"/>
      <c r="G612" s="13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x14ac:dyDescent="0.2">
      <c r="A613" s="12"/>
      <c r="B613" s="12"/>
      <c r="C613" s="12"/>
      <c r="D613" s="12"/>
      <c r="E613" s="12"/>
      <c r="F613" s="12"/>
      <c r="G613" s="13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x14ac:dyDescent="0.2">
      <c r="A614" s="12"/>
      <c r="B614" s="12"/>
      <c r="C614" s="12"/>
      <c r="D614" s="12"/>
      <c r="E614" s="12"/>
      <c r="F614" s="12"/>
      <c r="G614" s="13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x14ac:dyDescent="0.2">
      <c r="A615" s="12"/>
      <c r="B615" s="12"/>
      <c r="C615" s="12"/>
      <c r="D615" s="12"/>
      <c r="E615" s="12"/>
      <c r="F615" s="12"/>
      <c r="G615" s="13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x14ac:dyDescent="0.2">
      <c r="A616" s="12"/>
      <c r="B616" s="12"/>
      <c r="C616" s="12"/>
      <c r="D616" s="12"/>
      <c r="E616" s="12"/>
      <c r="F616" s="12"/>
      <c r="G616" s="13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x14ac:dyDescent="0.2">
      <c r="A617" s="12"/>
      <c r="B617" s="12"/>
      <c r="C617" s="12"/>
      <c r="D617" s="12"/>
      <c r="E617" s="12"/>
      <c r="F617" s="12"/>
      <c r="G617" s="13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x14ac:dyDescent="0.2">
      <c r="A618" s="12"/>
      <c r="B618" s="12"/>
      <c r="C618" s="12"/>
      <c r="D618" s="12"/>
      <c r="E618" s="12"/>
      <c r="F618" s="12"/>
      <c r="G618" s="13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x14ac:dyDescent="0.2">
      <c r="A619" s="12"/>
      <c r="B619" s="12"/>
      <c r="C619" s="12"/>
      <c r="D619" s="12"/>
      <c r="E619" s="12"/>
      <c r="F619" s="12"/>
      <c r="G619" s="13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x14ac:dyDescent="0.2">
      <c r="A620" s="12"/>
      <c r="B620" s="12"/>
      <c r="C620" s="12"/>
      <c r="D620" s="12"/>
      <c r="E620" s="12"/>
      <c r="F620" s="12"/>
      <c r="G620" s="13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x14ac:dyDescent="0.2">
      <c r="A621" s="12"/>
      <c r="B621" s="12"/>
      <c r="C621" s="12"/>
      <c r="D621" s="12"/>
      <c r="E621" s="12"/>
      <c r="F621" s="12"/>
      <c r="G621" s="13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x14ac:dyDescent="0.2">
      <c r="A622" s="12"/>
      <c r="B622" s="12"/>
      <c r="C622" s="12"/>
      <c r="D622" s="12"/>
      <c r="E622" s="12"/>
      <c r="F622" s="12"/>
      <c r="G622" s="13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x14ac:dyDescent="0.2">
      <c r="A623" s="12"/>
      <c r="B623" s="12"/>
      <c r="C623" s="12"/>
      <c r="D623" s="12"/>
      <c r="E623" s="12"/>
      <c r="F623" s="12"/>
      <c r="G623" s="13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x14ac:dyDescent="0.2">
      <c r="A624" s="12"/>
      <c r="B624" s="12"/>
      <c r="C624" s="12"/>
      <c r="D624" s="12"/>
      <c r="E624" s="12"/>
      <c r="F624" s="12"/>
      <c r="G624" s="13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x14ac:dyDescent="0.2">
      <c r="A625" s="12"/>
      <c r="B625" s="12"/>
      <c r="C625" s="12"/>
      <c r="D625" s="12"/>
      <c r="E625" s="12"/>
      <c r="F625" s="12"/>
      <c r="G625" s="13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x14ac:dyDescent="0.2">
      <c r="A626" s="12"/>
      <c r="B626" s="12"/>
      <c r="C626" s="12"/>
      <c r="D626" s="12"/>
      <c r="E626" s="12"/>
      <c r="F626" s="12"/>
      <c r="G626" s="13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x14ac:dyDescent="0.2">
      <c r="A627" s="12"/>
      <c r="B627" s="12"/>
      <c r="C627" s="12"/>
      <c r="D627" s="12"/>
      <c r="E627" s="12"/>
      <c r="F627" s="12"/>
      <c r="G627" s="13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x14ac:dyDescent="0.2">
      <c r="A628" s="12"/>
      <c r="B628" s="12"/>
      <c r="C628" s="12"/>
      <c r="D628" s="12"/>
      <c r="E628" s="12"/>
      <c r="F628" s="12"/>
      <c r="G628" s="13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x14ac:dyDescent="0.2">
      <c r="A629" s="12"/>
      <c r="B629" s="12"/>
      <c r="C629" s="12"/>
      <c r="D629" s="12"/>
      <c r="E629" s="12"/>
      <c r="F629" s="12"/>
      <c r="G629" s="13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x14ac:dyDescent="0.2">
      <c r="A630" s="12"/>
      <c r="B630" s="12"/>
      <c r="C630" s="12"/>
      <c r="D630" s="12"/>
      <c r="E630" s="12"/>
      <c r="F630" s="12"/>
      <c r="G630" s="13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x14ac:dyDescent="0.2">
      <c r="A631" s="12"/>
      <c r="B631" s="12"/>
      <c r="C631" s="12"/>
      <c r="D631" s="12"/>
      <c r="E631" s="12"/>
      <c r="F631" s="12"/>
      <c r="G631" s="13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x14ac:dyDescent="0.2">
      <c r="A632" s="12"/>
      <c r="B632" s="12"/>
      <c r="C632" s="12"/>
      <c r="D632" s="12"/>
      <c r="E632" s="12"/>
      <c r="F632" s="12"/>
      <c r="G632" s="13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x14ac:dyDescent="0.2">
      <c r="A633" s="12"/>
      <c r="B633" s="12"/>
      <c r="C633" s="12"/>
      <c r="D633" s="12"/>
      <c r="E633" s="12"/>
      <c r="F633" s="12"/>
      <c r="G633" s="13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x14ac:dyDescent="0.2">
      <c r="A634" s="12"/>
      <c r="B634" s="12"/>
      <c r="C634" s="12"/>
      <c r="D634" s="12"/>
      <c r="E634" s="12"/>
      <c r="F634" s="12"/>
      <c r="G634" s="1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x14ac:dyDescent="0.2">
      <c r="A635" s="12"/>
      <c r="B635" s="12"/>
      <c r="C635" s="12"/>
      <c r="D635" s="12"/>
      <c r="E635" s="12"/>
      <c r="F635" s="12"/>
      <c r="G635" s="13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x14ac:dyDescent="0.2">
      <c r="A636" s="12"/>
      <c r="B636" s="12"/>
      <c r="C636" s="12"/>
      <c r="D636" s="12"/>
      <c r="E636" s="12"/>
      <c r="F636" s="12"/>
      <c r="G636" s="13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x14ac:dyDescent="0.2">
      <c r="A637" s="12"/>
      <c r="B637" s="12"/>
      <c r="C637" s="12"/>
      <c r="D637" s="12"/>
      <c r="E637" s="12"/>
      <c r="F637" s="12"/>
      <c r="G637" s="13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x14ac:dyDescent="0.2">
      <c r="A638" s="12"/>
      <c r="B638" s="12"/>
      <c r="C638" s="12"/>
      <c r="D638" s="12"/>
      <c r="E638" s="12"/>
      <c r="F638" s="12"/>
      <c r="G638" s="13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x14ac:dyDescent="0.2">
      <c r="A639" s="12"/>
      <c r="B639" s="12"/>
      <c r="C639" s="12"/>
      <c r="D639" s="12"/>
      <c r="E639" s="12"/>
      <c r="F639" s="12"/>
      <c r="G639" s="13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x14ac:dyDescent="0.2">
      <c r="A640" s="12"/>
      <c r="B640" s="12"/>
      <c r="C640" s="12"/>
      <c r="D640" s="12"/>
      <c r="E640" s="12"/>
      <c r="F640" s="12"/>
      <c r="G640" s="13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x14ac:dyDescent="0.2">
      <c r="A641" s="12"/>
      <c r="B641" s="12"/>
      <c r="C641" s="12"/>
      <c r="D641" s="12"/>
      <c r="E641" s="12"/>
      <c r="F641" s="12"/>
      <c r="G641" s="13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x14ac:dyDescent="0.2">
      <c r="A642" s="12"/>
      <c r="B642" s="12"/>
      <c r="C642" s="12"/>
      <c r="D642" s="12"/>
      <c r="E642" s="12"/>
      <c r="F642" s="12"/>
      <c r="G642" s="13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x14ac:dyDescent="0.2">
      <c r="A643" s="12"/>
      <c r="B643" s="12"/>
      <c r="C643" s="12"/>
      <c r="D643" s="12"/>
      <c r="E643" s="12"/>
      <c r="F643" s="12"/>
      <c r="G643" s="13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x14ac:dyDescent="0.2">
      <c r="A644" s="12"/>
      <c r="B644" s="12"/>
      <c r="C644" s="12"/>
      <c r="D644" s="12"/>
      <c r="E644" s="12"/>
      <c r="F644" s="12"/>
      <c r="G644" s="13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x14ac:dyDescent="0.2">
      <c r="A645" s="12"/>
      <c r="B645" s="12"/>
      <c r="C645" s="12"/>
      <c r="D645" s="12"/>
      <c r="E645" s="12"/>
      <c r="F645" s="12"/>
      <c r="G645" s="13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x14ac:dyDescent="0.2">
      <c r="A646" s="12"/>
      <c r="B646" s="12"/>
      <c r="C646" s="12"/>
      <c r="D646" s="12"/>
      <c r="E646" s="12"/>
      <c r="F646" s="12"/>
      <c r="G646" s="13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x14ac:dyDescent="0.2">
      <c r="A647" s="12"/>
      <c r="B647" s="12"/>
      <c r="C647" s="12"/>
      <c r="D647" s="12"/>
      <c r="E647" s="12"/>
      <c r="F647" s="12"/>
      <c r="G647" s="13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x14ac:dyDescent="0.2">
      <c r="A648" s="12"/>
      <c r="B648" s="12"/>
      <c r="C648" s="12"/>
      <c r="D648" s="12"/>
      <c r="E648" s="12"/>
      <c r="F648" s="12"/>
      <c r="G648" s="13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x14ac:dyDescent="0.2">
      <c r="A649" s="12"/>
      <c r="B649" s="12"/>
      <c r="C649" s="12"/>
      <c r="D649" s="12"/>
      <c r="E649" s="12"/>
      <c r="F649" s="12"/>
      <c r="G649" s="13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x14ac:dyDescent="0.2">
      <c r="A650" s="12"/>
      <c r="B650" s="12"/>
      <c r="C650" s="12"/>
      <c r="D650" s="12"/>
      <c r="E650" s="12"/>
      <c r="F650" s="12"/>
      <c r="G650" s="13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x14ac:dyDescent="0.2">
      <c r="A651" s="12"/>
      <c r="B651" s="12"/>
      <c r="C651" s="12"/>
      <c r="D651" s="12"/>
      <c r="E651" s="12"/>
      <c r="F651" s="12"/>
      <c r="G651" s="13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x14ac:dyDescent="0.2">
      <c r="A652" s="12"/>
      <c r="B652" s="12"/>
      <c r="C652" s="12"/>
      <c r="D652" s="12"/>
      <c r="E652" s="12"/>
      <c r="F652" s="12"/>
      <c r="G652" s="13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x14ac:dyDescent="0.2">
      <c r="A653" s="12"/>
      <c r="B653" s="12"/>
      <c r="C653" s="12"/>
      <c r="D653" s="12"/>
      <c r="E653" s="12"/>
      <c r="F653" s="12"/>
      <c r="G653" s="13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x14ac:dyDescent="0.2">
      <c r="A654" s="12"/>
      <c r="B654" s="12"/>
      <c r="C654" s="12"/>
      <c r="D654" s="12"/>
      <c r="E654" s="12"/>
      <c r="F654" s="12"/>
      <c r="G654" s="13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x14ac:dyDescent="0.2">
      <c r="A655" s="12"/>
      <c r="B655" s="12"/>
      <c r="C655" s="12"/>
      <c r="D655" s="12"/>
      <c r="E655" s="12"/>
      <c r="F655" s="12"/>
      <c r="G655" s="13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x14ac:dyDescent="0.2">
      <c r="A656" s="12"/>
      <c r="B656" s="12"/>
      <c r="C656" s="12"/>
      <c r="D656" s="12"/>
      <c r="E656" s="12"/>
      <c r="F656" s="12"/>
      <c r="G656" s="13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x14ac:dyDescent="0.2">
      <c r="A657" s="12"/>
      <c r="B657" s="12"/>
      <c r="C657" s="12"/>
      <c r="D657" s="12"/>
      <c r="E657" s="12"/>
      <c r="F657" s="12"/>
      <c r="G657" s="13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x14ac:dyDescent="0.2">
      <c r="A658" s="12"/>
      <c r="B658" s="12"/>
      <c r="C658" s="12"/>
      <c r="D658" s="12"/>
      <c r="E658" s="12"/>
      <c r="F658" s="12"/>
      <c r="G658" s="13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x14ac:dyDescent="0.2">
      <c r="A659" s="12"/>
      <c r="B659" s="12"/>
      <c r="C659" s="12"/>
      <c r="D659" s="12"/>
      <c r="E659" s="12"/>
      <c r="F659" s="12"/>
      <c r="G659" s="13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x14ac:dyDescent="0.2">
      <c r="A660" s="12"/>
      <c r="B660" s="12"/>
      <c r="C660" s="12"/>
      <c r="D660" s="12"/>
      <c r="E660" s="12"/>
      <c r="F660" s="12"/>
      <c r="G660" s="13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x14ac:dyDescent="0.2">
      <c r="A661" s="12"/>
      <c r="B661" s="12"/>
      <c r="C661" s="12"/>
      <c r="D661" s="12"/>
      <c r="E661" s="12"/>
      <c r="F661" s="12"/>
      <c r="G661" s="13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x14ac:dyDescent="0.2">
      <c r="A662" s="12"/>
      <c r="B662" s="12"/>
      <c r="C662" s="12"/>
      <c r="D662" s="12"/>
      <c r="E662" s="12"/>
      <c r="F662" s="12"/>
      <c r="G662" s="13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x14ac:dyDescent="0.2">
      <c r="A663" s="12"/>
      <c r="B663" s="12"/>
      <c r="C663" s="12"/>
      <c r="D663" s="12"/>
      <c r="E663" s="12"/>
      <c r="F663" s="12"/>
      <c r="G663" s="13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x14ac:dyDescent="0.2">
      <c r="A664" s="12"/>
      <c r="B664" s="12"/>
      <c r="C664" s="12"/>
      <c r="D664" s="12"/>
      <c r="E664" s="12"/>
      <c r="F664" s="12"/>
      <c r="G664" s="13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x14ac:dyDescent="0.2">
      <c r="A665" s="12"/>
      <c r="B665" s="12"/>
      <c r="C665" s="12"/>
      <c r="D665" s="12"/>
      <c r="E665" s="12"/>
      <c r="F665" s="12"/>
      <c r="G665" s="1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x14ac:dyDescent="0.2">
      <c r="A666" s="12"/>
      <c r="B666" s="12"/>
      <c r="C666" s="12"/>
      <c r="D666" s="12"/>
      <c r="E666" s="12"/>
      <c r="F666" s="12"/>
      <c r="G666" s="13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x14ac:dyDescent="0.2">
      <c r="A667" s="12"/>
      <c r="B667" s="12"/>
      <c r="C667" s="12"/>
      <c r="D667" s="12"/>
      <c r="E667" s="12"/>
      <c r="F667" s="12"/>
      <c r="G667" s="13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x14ac:dyDescent="0.2">
      <c r="A668" s="12"/>
      <c r="B668" s="12"/>
      <c r="C668" s="12"/>
      <c r="D668" s="12"/>
      <c r="E668" s="12"/>
      <c r="F668" s="12"/>
      <c r="G668" s="13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x14ac:dyDescent="0.2">
      <c r="A669" s="12"/>
      <c r="B669" s="12"/>
      <c r="C669" s="12"/>
      <c r="D669" s="12"/>
      <c r="E669" s="12"/>
      <c r="F669" s="12"/>
      <c r="G669" s="13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x14ac:dyDescent="0.2">
      <c r="A670" s="12"/>
      <c r="B670" s="12"/>
      <c r="C670" s="12"/>
      <c r="D670" s="12"/>
      <c r="E670" s="12"/>
      <c r="F670" s="12"/>
      <c r="G670" s="13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x14ac:dyDescent="0.2">
      <c r="A671" s="12"/>
      <c r="B671" s="12"/>
      <c r="C671" s="12"/>
      <c r="D671" s="12"/>
      <c r="E671" s="12"/>
      <c r="F671" s="12"/>
      <c r="G671" s="13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x14ac:dyDescent="0.2">
      <c r="A672" s="12"/>
      <c r="B672" s="12"/>
      <c r="C672" s="12"/>
      <c r="D672" s="12"/>
      <c r="E672" s="12"/>
      <c r="F672" s="12"/>
      <c r="G672" s="13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x14ac:dyDescent="0.2">
      <c r="A673" s="12"/>
      <c r="B673" s="12"/>
      <c r="C673" s="12"/>
      <c r="D673" s="12"/>
      <c r="E673" s="12"/>
      <c r="F673" s="12"/>
      <c r="G673" s="13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x14ac:dyDescent="0.2">
      <c r="A674" s="12"/>
      <c r="B674" s="12"/>
      <c r="C674" s="12"/>
      <c r="D674" s="12"/>
      <c r="E674" s="12"/>
      <c r="F674" s="12"/>
      <c r="G674" s="13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x14ac:dyDescent="0.2">
      <c r="A675" s="12"/>
      <c r="B675" s="12"/>
      <c r="C675" s="12"/>
      <c r="D675" s="12"/>
      <c r="E675" s="12"/>
      <c r="F675" s="12"/>
      <c r="G675" s="13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x14ac:dyDescent="0.2">
      <c r="A676" s="12"/>
      <c r="B676" s="12"/>
      <c r="C676" s="12"/>
      <c r="D676" s="12"/>
      <c r="E676" s="12"/>
      <c r="F676" s="12"/>
      <c r="G676" s="1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x14ac:dyDescent="0.2">
      <c r="A677" s="12"/>
      <c r="B677" s="12"/>
      <c r="C677" s="12"/>
      <c r="D677" s="12"/>
      <c r="E677" s="12"/>
      <c r="F677" s="12"/>
      <c r="G677" s="1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x14ac:dyDescent="0.2">
      <c r="A678" s="12"/>
      <c r="B678" s="12"/>
      <c r="C678" s="12"/>
      <c r="D678" s="12"/>
      <c r="E678" s="12"/>
      <c r="F678" s="12"/>
      <c r="G678" s="13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x14ac:dyDescent="0.2">
      <c r="A679" s="12"/>
      <c r="B679" s="12"/>
      <c r="C679" s="12"/>
      <c r="D679" s="12"/>
      <c r="E679" s="12"/>
      <c r="F679" s="12"/>
      <c r="G679" s="13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x14ac:dyDescent="0.2">
      <c r="A680" s="12"/>
      <c r="B680" s="12"/>
      <c r="C680" s="12"/>
      <c r="D680" s="12"/>
      <c r="E680" s="12"/>
      <c r="F680" s="12"/>
      <c r="G680" s="13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x14ac:dyDescent="0.2">
      <c r="A681" s="12"/>
      <c r="B681" s="12"/>
      <c r="C681" s="12"/>
      <c r="D681" s="12"/>
      <c r="E681" s="12"/>
      <c r="F681" s="12"/>
      <c r="G681" s="13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x14ac:dyDescent="0.2">
      <c r="A682" s="12"/>
      <c r="B682" s="12"/>
      <c r="C682" s="12"/>
      <c r="D682" s="12"/>
      <c r="E682" s="12"/>
      <c r="F682" s="12"/>
      <c r="G682" s="13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x14ac:dyDescent="0.2">
      <c r="A683" s="12"/>
      <c r="B683" s="12"/>
      <c r="C683" s="12"/>
      <c r="D683" s="12"/>
      <c r="E683" s="12"/>
      <c r="F683" s="12"/>
      <c r="G683" s="13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x14ac:dyDescent="0.2">
      <c r="A684" s="12"/>
      <c r="B684" s="12"/>
      <c r="C684" s="12"/>
      <c r="D684" s="12"/>
      <c r="E684" s="12"/>
      <c r="F684" s="12"/>
      <c r="G684" s="13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x14ac:dyDescent="0.2">
      <c r="A685" s="12"/>
      <c r="B685" s="12"/>
      <c r="C685" s="12"/>
      <c r="D685" s="12"/>
      <c r="E685" s="12"/>
      <c r="F685" s="12"/>
      <c r="G685" s="13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x14ac:dyDescent="0.2">
      <c r="A686" s="12"/>
      <c r="B686" s="12"/>
      <c r="C686" s="12"/>
      <c r="D686" s="12"/>
      <c r="E686" s="12"/>
      <c r="F686" s="12"/>
      <c r="G686" s="13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x14ac:dyDescent="0.2">
      <c r="A687" s="12"/>
      <c r="B687" s="12"/>
      <c r="C687" s="12"/>
      <c r="D687" s="12"/>
      <c r="E687" s="12"/>
      <c r="F687" s="12"/>
      <c r="G687" s="13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x14ac:dyDescent="0.2">
      <c r="A688" s="12"/>
      <c r="B688" s="12"/>
      <c r="C688" s="12"/>
      <c r="D688" s="12"/>
      <c r="E688" s="12"/>
      <c r="F688" s="12"/>
      <c r="G688" s="13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x14ac:dyDescent="0.2">
      <c r="A689" s="12"/>
      <c r="B689" s="12"/>
      <c r="C689" s="12"/>
      <c r="D689" s="12"/>
      <c r="E689" s="12"/>
      <c r="F689" s="12"/>
      <c r="G689" s="13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x14ac:dyDescent="0.2">
      <c r="A690" s="12"/>
      <c r="B690" s="12"/>
      <c r="C690" s="12"/>
      <c r="D690" s="12"/>
      <c r="E690" s="12"/>
      <c r="F690" s="12"/>
      <c r="G690" s="13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x14ac:dyDescent="0.2">
      <c r="A691" s="12"/>
      <c r="B691" s="12"/>
      <c r="C691" s="12"/>
      <c r="D691" s="12"/>
      <c r="E691" s="12"/>
      <c r="F691" s="12"/>
      <c r="G691" s="13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x14ac:dyDescent="0.2">
      <c r="A692" s="12"/>
      <c r="B692" s="12"/>
      <c r="C692" s="12"/>
      <c r="D692" s="12"/>
      <c r="E692" s="12"/>
      <c r="F692" s="12"/>
      <c r="G692" s="13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x14ac:dyDescent="0.2">
      <c r="A693" s="12"/>
      <c r="B693" s="12"/>
      <c r="C693" s="12"/>
      <c r="D693" s="12"/>
      <c r="E693" s="12"/>
      <c r="F693" s="12"/>
      <c r="G693" s="13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x14ac:dyDescent="0.2">
      <c r="A694" s="12"/>
      <c r="B694" s="12"/>
      <c r="C694" s="12"/>
      <c r="D694" s="12"/>
      <c r="E694" s="12"/>
      <c r="F694" s="12"/>
      <c r="G694" s="13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x14ac:dyDescent="0.2">
      <c r="A695" s="12"/>
      <c r="B695" s="12"/>
      <c r="C695" s="12"/>
      <c r="D695" s="12"/>
      <c r="E695" s="12"/>
      <c r="F695" s="12"/>
      <c r="G695" s="13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x14ac:dyDescent="0.2">
      <c r="A696" s="12"/>
      <c r="B696" s="12"/>
      <c r="C696" s="12"/>
      <c r="D696" s="12"/>
      <c r="E696" s="12"/>
      <c r="F696" s="12"/>
      <c r="G696" s="1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x14ac:dyDescent="0.2">
      <c r="A697" s="12"/>
      <c r="B697" s="12"/>
      <c r="C697" s="12"/>
      <c r="D697" s="12"/>
      <c r="E697" s="12"/>
      <c r="F697" s="12"/>
      <c r="G697" s="1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x14ac:dyDescent="0.2">
      <c r="A698" s="12"/>
      <c r="B698" s="12"/>
      <c r="C698" s="12"/>
      <c r="D698" s="12"/>
      <c r="E698" s="12"/>
      <c r="F698" s="12"/>
      <c r="G698" s="1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x14ac:dyDescent="0.2">
      <c r="A699" s="12"/>
      <c r="B699" s="12"/>
      <c r="C699" s="12"/>
      <c r="D699" s="12"/>
      <c r="E699" s="12"/>
      <c r="F699" s="12"/>
      <c r="G699" s="1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x14ac:dyDescent="0.2">
      <c r="A700" s="12"/>
      <c r="B700" s="12"/>
      <c r="C700" s="12"/>
      <c r="D700" s="12"/>
      <c r="E700" s="12"/>
      <c r="F700" s="12"/>
      <c r="G700" s="1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x14ac:dyDescent="0.2">
      <c r="A701" s="12"/>
      <c r="B701" s="12"/>
      <c r="C701" s="12"/>
      <c r="D701" s="12"/>
      <c r="E701" s="12"/>
      <c r="F701" s="12"/>
      <c r="G701" s="1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x14ac:dyDescent="0.2">
      <c r="A702" s="12"/>
      <c r="B702" s="12"/>
      <c r="C702" s="12"/>
      <c r="D702" s="12"/>
      <c r="E702" s="12"/>
      <c r="F702" s="12"/>
      <c r="G702" s="1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x14ac:dyDescent="0.2">
      <c r="A703" s="12"/>
      <c r="B703" s="12"/>
      <c r="C703" s="12"/>
      <c r="D703" s="12"/>
      <c r="E703" s="12"/>
      <c r="F703" s="12"/>
      <c r="G703" s="1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x14ac:dyDescent="0.2">
      <c r="A704" s="12"/>
      <c r="B704" s="12"/>
      <c r="C704" s="12"/>
      <c r="D704" s="12"/>
      <c r="E704" s="12"/>
      <c r="F704" s="12"/>
      <c r="G704" s="1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x14ac:dyDescent="0.2">
      <c r="A705" s="12"/>
      <c r="B705" s="12"/>
      <c r="C705" s="12"/>
      <c r="D705" s="12"/>
      <c r="E705" s="12"/>
      <c r="F705" s="12"/>
      <c r="G705" s="1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x14ac:dyDescent="0.2">
      <c r="A706" s="12"/>
      <c r="B706" s="12"/>
      <c r="C706" s="12"/>
      <c r="D706" s="12"/>
      <c r="E706" s="12"/>
      <c r="F706" s="12"/>
      <c r="G706" s="1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x14ac:dyDescent="0.2">
      <c r="A707" s="12"/>
      <c r="B707" s="12"/>
      <c r="C707" s="12"/>
      <c r="D707" s="12"/>
      <c r="E707" s="12"/>
      <c r="F707" s="12"/>
      <c r="G707" s="1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x14ac:dyDescent="0.2">
      <c r="A708" s="12"/>
      <c r="B708" s="12"/>
      <c r="C708" s="12"/>
      <c r="D708" s="12"/>
      <c r="E708" s="12"/>
      <c r="F708" s="12"/>
      <c r="G708" s="1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x14ac:dyDescent="0.2">
      <c r="A709" s="12"/>
      <c r="B709" s="12"/>
      <c r="C709" s="12"/>
      <c r="D709" s="12"/>
      <c r="E709" s="12"/>
      <c r="F709" s="12"/>
      <c r="G709" s="1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x14ac:dyDescent="0.2">
      <c r="A710" s="12"/>
      <c r="B710" s="12"/>
      <c r="C710" s="12"/>
      <c r="D710" s="12"/>
      <c r="E710" s="12"/>
      <c r="F710" s="12"/>
      <c r="G710" s="1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x14ac:dyDescent="0.2">
      <c r="A711" s="12"/>
      <c r="B711" s="12"/>
      <c r="C711" s="12"/>
      <c r="D711" s="12"/>
      <c r="E711" s="12"/>
      <c r="F711" s="12"/>
      <c r="G711" s="1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x14ac:dyDescent="0.2">
      <c r="A712" s="12"/>
      <c r="B712" s="12"/>
      <c r="C712" s="12"/>
      <c r="D712" s="12"/>
      <c r="E712" s="12"/>
      <c r="F712" s="12"/>
      <c r="G712" s="1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x14ac:dyDescent="0.2">
      <c r="A713" s="12"/>
      <c r="B713" s="12"/>
      <c r="C713" s="12"/>
      <c r="D713" s="12"/>
      <c r="E713" s="12"/>
      <c r="F713" s="12"/>
      <c r="G713" s="1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x14ac:dyDescent="0.2">
      <c r="A714" s="12"/>
      <c r="B714" s="12"/>
      <c r="C714" s="12"/>
      <c r="D714" s="12"/>
      <c r="E714" s="12"/>
      <c r="F714" s="12"/>
      <c r="G714" s="1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x14ac:dyDescent="0.2">
      <c r="A715" s="12"/>
      <c r="B715" s="12"/>
      <c r="C715" s="12"/>
      <c r="D715" s="12"/>
      <c r="E715" s="12"/>
      <c r="F715" s="12"/>
      <c r="G715" s="1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x14ac:dyDescent="0.2">
      <c r="A716" s="12"/>
      <c r="B716" s="12"/>
      <c r="C716" s="12"/>
      <c r="D716" s="12"/>
      <c r="E716" s="12"/>
      <c r="F716" s="12"/>
      <c r="G716" s="1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x14ac:dyDescent="0.2">
      <c r="A717" s="12"/>
      <c r="B717" s="12"/>
      <c r="C717" s="12"/>
      <c r="D717" s="12"/>
      <c r="E717" s="12"/>
      <c r="F717" s="12"/>
      <c r="G717" s="1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x14ac:dyDescent="0.2">
      <c r="A718" s="12"/>
      <c r="B718" s="12"/>
      <c r="C718" s="12"/>
      <c r="D718" s="12"/>
      <c r="E718" s="12"/>
      <c r="F718" s="12"/>
      <c r="G718" s="1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x14ac:dyDescent="0.2">
      <c r="A719" s="12"/>
      <c r="B719" s="12"/>
      <c r="C719" s="12"/>
      <c r="D719" s="12"/>
      <c r="E719" s="12"/>
      <c r="F719" s="12"/>
      <c r="G719" s="1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x14ac:dyDescent="0.2">
      <c r="A720" s="12"/>
      <c r="B720" s="12"/>
      <c r="C720" s="12"/>
      <c r="D720" s="12"/>
      <c r="E720" s="12"/>
      <c r="F720" s="12"/>
      <c r="G720" s="1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x14ac:dyDescent="0.2">
      <c r="A721" s="12"/>
      <c r="B721" s="12"/>
      <c r="C721" s="12"/>
      <c r="D721" s="12"/>
      <c r="E721" s="12"/>
      <c r="F721" s="12"/>
      <c r="G721" s="1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x14ac:dyDescent="0.2">
      <c r="A722" s="12"/>
      <c r="B722" s="12"/>
      <c r="C722" s="12"/>
      <c r="D722" s="12"/>
      <c r="E722" s="12"/>
      <c r="F722" s="12"/>
      <c r="G722" s="1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x14ac:dyDescent="0.2">
      <c r="A723" s="12"/>
      <c r="B723" s="12"/>
      <c r="C723" s="12"/>
      <c r="D723" s="12"/>
      <c r="E723" s="12"/>
      <c r="F723" s="12"/>
      <c r="G723" s="1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x14ac:dyDescent="0.2">
      <c r="A724" s="12"/>
      <c r="B724" s="12"/>
      <c r="C724" s="12"/>
      <c r="D724" s="12"/>
      <c r="E724" s="12"/>
      <c r="F724" s="12"/>
      <c r="G724" s="1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x14ac:dyDescent="0.2">
      <c r="A725" s="12"/>
      <c r="B725" s="12"/>
      <c r="C725" s="12"/>
      <c r="D725" s="12"/>
      <c r="E725" s="12"/>
      <c r="F725" s="12"/>
      <c r="G725" s="1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x14ac:dyDescent="0.2">
      <c r="A726" s="12"/>
      <c r="B726" s="12"/>
      <c r="C726" s="12"/>
      <c r="D726" s="12"/>
      <c r="E726" s="12"/>
      <c r="F726" s="12"/>
      <c r="G726" s="1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x14ac:dyDescent="0.2">
      <c r="A727" s="12"/>
      <c r="B727" s="12"/>
      <c r="C727" s="12"/>
      <c r="D727" s="12"/>
      <c r="E727" s="12"/>
      <c r="F727" s="12"/>
      <c r="G727" s="1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x14ac:dyDescent="0.2">
      <c r="A728" s="12"/>
      <c r="B728" s="12"/>
      <c r="C728" s="12"/>
      <c r="D728" s="12"/>
      <c r="E728" s="12"/>
      <c r="F728" s="12"/>
      <c r="G728" s="1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x14ac:dyDescent="0.2">
      <c r="A729" s="12"/>
      <c r="B729" s="12"/>
      <c r="C729" s="12"/>
      <c r="D729" s="12"/>
      <c r="E729" s="12"/>
      <c r="F729" s="12"/>
      <c r="G729" s="1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x14ac:dyDescent="0.2">
      <c r="A730" s="12"/>
      <c r="B730" s="12"/>
      <c r="C730" s="12"/>
      <c r="D730" s="12"/>
      <c r="E730" s="12"/>
      <c r="F730" s="12"/>
      <c r="G730" s="1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x14ac:dyDescent="0.2">
      <c r="A731" s="12"/>
      <c r="B731" s="12"/>
      <c r="C731" s="12"/>
      <c r="D731" s="12"/>
      <c r="E731" s="12"/>
      <c r="F731" s="12"/>
      <c r="G731" s="1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x14ac:dyDescent="0.2">
      <c r="A732" s="12"/>
      <c r="B732" s="12"/>
      <c r="C732" s="12"/>
      <c r="D732" s="12"/>
      <c r="E732" s="12"/>
      <c r="F732" s="12"/>
      <c r="G732" s="1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x14ac:dyDescent="0.2">
      <c r="A733" s="12"/>
      <c r="B733" s="12"/>
      <c r="C733" s="12"/>
      <c r="D733" s="12"/>
      <c r="E733" s="12"/>
      <c r="F733" s="12"/>
      <c r="G733" s="1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x14ac:dyDescent="0.2">
      <c r="A734" s="12"/>
      <c r="B734" s="12"/>
      <c r="C734" s="12"/>
      <c r="D734" s="12"/>
      <c r="E734" s="12"/>
      <c r="F734" s="12"/>
      <c r="G734" s="1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x14ac:dyDescent="0.2">
      <c r="A735" s="12"/>
      <c r="B735" s="12"/>
      <c r="C735" s="12"/>
      <c r="D735" s="12"/>
      <c r="E735" s="12"/>
      <c r="F735" s="12"/>
      <c r="G735" s="1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x14ac:dyDescent="0.2">
      <c r="A736" s="12"/>
      <c r="B736" s="12"/>
      <c r="C736" s="12"/>
      <c r="D736" s="12"/>
      <c r="E736" s="12"/>
      <c r="F736" s="12"/>
      <c r="G736" s="1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x14ac:dyDescent="0.2">
      <c r="A737" s="12"/>
      <c r="B737" s="12"/>
      <c r="C737" s="12"/>
      <c r="D737" s="12"/>
      <c r="E737" s="12"/>
      <c r="F737" s="12"/>
      <c r="G737" s="1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x14ac:dyDescent="0.2">
      <c r="A738" s="12"/>
      <c r="B738" s="12"/>
      <c r="C738" s="12"/>
      <c r="D738" s="12"/>
      <c r="E738" s="12"/>
      <c r="F738" s="12"/>
      <c r="G738" s="1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x14ac:dyDescent="0.2">
      <c r="A739" s="12"/>
      <c r="B739" s="12"/>
      <c r="C739" s="12"/>
      <c r="D739" s="12"/>
      <c r="E739" s="12"/>
      <c r="F739" s="12"/>
      <c r="G739" s="1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x14ac:dyDescent="0.2">
      <c r="A740" s="12"/>
      <c r="B740" s="12"/>
      <c r="C740" s="12"/>
      <c r="D740" s="12"/>
      <c r="E740" s="12"/>
      <c r="F740" s="12"/>
      <c r="G740" s="1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x14ac:dyDescent="0.2">
      <c r="A741" s="12"/>
      <c r="B741" s="12"/>
      <c r="C741" s="12"/>
      <c r="D741" s="12"/>
      <c r="E741" s="12"/>
      <c r="F741" s="12"/>
      <c r="G741" s="1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x14ac:dyDescent="0.2">
      <c r="A742" s="12"/>
      <c r="B742" s="12"/>
      <c r="C742" s="12"/>
      <c r="D742" s="12"/>
      <c r="E742" s="12"/>
      <c r="F742" s="12"/>
      <c r="G742" s="1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x14ac:dyDescent="0.2">
      <c r="A743" s="12"/>
      <c r="B743" s="12"/>
      <c r="C743" s="12"/>
      <c r="D743" s="12"/>
      <c r="E743" s="12"/>
      <c r="F743" s="12"/>
      <c r="G743" s="1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x14ac:dyDescent="0.2">
      <c r="A744" s="12"/>
      <c r="B744" s="12"/>
      <c r="C744" s="12"/>
      <c r="D744" s="12"/>
      <c r="E744" s="12"/>
      <c r="F744" s="12"/>
      <c r="G744" s="1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x14ac:dyDescent="0.2">
      <c r="A745" s="12"/>
      <c r="B745" s="12"/>
      <c r="C745" s="12"/>
      <c r="D745" s="12"/>
      <c r="E745" s="12"/>
      <c r="F745" s="12"/>
      <c r="G745" s="1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x14ac:dyDescent="0.2">
      <c r="A746" s="12"/>
      <c r="B746" s="12"/>
      <c r="C746" s="12"/>
      <c r="D746" s="12"/>
      <c r="E746" s="12"/>
      <c r="F746" s="12"/>
      <c r="G746" s="1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x14ac:dyDescent="0.2">
      <c r="A747" s="12"/>
      <c r="B747" s="12"/>
      <c r="C747" s="12"/>
      <c r="D747" s="12"/>
      <c r="E747" s="12"/>
      <c r="F747" s="12"/>
      <c r="G747" s="1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x14ac:dyDescent="0.2">
      <c r="A748" s="12"/>
      <c r="B748" s="12"/>
      <c r="C748" s="12"/>
      <c r="D748" s="12"/>
      <c r="E748" s="12"/>
      <c r="F748" s="12"/>
      <c r="G748" s="1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x14ac:dyDescent="0.2">
      <c r="A749" s="12"/>
      <c r="B749" s="12"/>
      <c r="C749" s="12"/>
      <c r="D749" s="12"/>
      <c r="E749" s="12"/>
      <c r="F749" s="12"/>
      <c r="G749" s="1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x14ac:dyDescent="0.2">
      <c r="A750" s="12"/>
      <c r="B750" s="12"/>
      <c r="C750" s="12"/>
      <c r="D750" s="12"/>
      <c r="E750" s="12"/>
      <c r="F750" s="12"/>
      <c r="G750" s="1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x14ac:dyDescent="0.2">
      <c r="A751" s="12"/>
      <c r="B751" s="12"/>
      <c r="C751" s="12"/>
      <c r="D751" s="12"/>
      <c r="E751" s="12"/>
      <c r="F751" s="12"/>
      <c r="G751" s="1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x14ac:dyDescent="0.2">
      <c r="A752" s="12"/>
      <c r="B752" s="12"/>
      <c r="C752" s="12"/>
      <c r="D752" s="12"/>
      <c r="E752" s="12"/>
      <c r="F752" s="12"/>
      <c r="G752" s="1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x14ac:dyDescent="0.2">
      <c r="A753" s="12"/>
      <c r="B753" s="12"/>
      <c r="C753" s="12"/>
      <c r="D753" s="12"/>
      <c r="E753" s="12"/>
      <c r="F753" s="12"/>
      <c r="G753" s="1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x14ac:dyDescent="0.2">
      <c r="A754" s="12"/>
      <c r="B754" s="12"/>
      <c r="C754" s="12"/>
      <c r="D754" s="12"/>
      <c r="E754" s="12"/>
      <c r="F754" s="12"/>
      <c r="G754" s="1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x14ac:dyDescent="0.2">
      <c r="A755" s="12"/>
      <c r="B755" s="12"/>
      <c r="C755" s="12"/>
      <c r="D755" s="12"/>
      <c r="E755" s="12"/>
      <c r="F755" s="12"/>
      <c r="G755" s="1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x14ac:dyDescent="0.2">
      <c r="A756" s="12"/>
      <c r="B756" s="12"/>
      <c r="C756" s="12"/>
      <c r="D756" s="12"/>
      <c r="E756" s="12"/>
      <c r="F756" s="12"/>
      <c r="G756" s="1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x14ac:dyDescent="0.2">
      <c r="A757" s="12"/>
      <c r="B757" s="12"/>
      <c r="C757" s="12"/>
      <c r="D757" s="12"/>
      <c r="E757" s="12"/>
      <c r="F757" s="12"/>
      <c r="G757" s="1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x14ac:dyDescent="0.2">
      <c r="A758" s="12"/>
      <c r="B758" s="12"/>
      <c r="C758" s="12"/>
      <c r="D758" s="12"/>
      <c r="E758" s="12"/>
      <c r="F758" s="12"/>
      <c r="G758" s="1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x14ac:dyDescent="0.2">
      <c r="A759" s="12"/>
      <c r="B759" s="12"/>
      <c r="C759" s="12"/>
      <c r="D759" s="12"/>
      <c r="E759" s="12"/>
      <c r="F759" s="12"/>
      <c r="G759" s="1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x14ac:dyDescent="0.2">
      <c r="A760" s="12"/>
      <c r="B760" s="12"/>
      <c r="C760" s="12"/>
      <c r="D760" s="12"/>
      <c r="E760" s="12"/>
      <c r="F760" s="12"/>
      <c r="G760" s="1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x14ac:dyDescent="0.2">
      <c r="A761" s="12"/>
      <c r="B761" s="12"/>
      <c r="C761" s="12"/>
      <c r="D761" s="12"/>
      <c r="E761" s="12"/>
      <c r="F761" s="12"/>
      <c r="G761" s="1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x14ac:dyDescent="0.2">
      <c r="A762" s="12"/>
      <c r="B762" s="12"/>
      <c r="C762" s="12"/>
      <c r="D762" s="12"/>
      <c r="E762" s="12"/>
      <c r="F762" s="12"/>
      <c r="G762" s="1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x14ac:dyDescent="0.2">
      <c r="A763" s="12"/>
      <c r="B763" s="12"/>
      <c r="C763" s="12"/>
      <c r="D763" s="12"/>
      <c r="E763" s="12"/>
      <c r="F763" s="12"/>
      <c r="G763" s="1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x14ac:dyDescent="0.2">
      <c r="A764" s="12"/>
      <c r="B764" s="12"/>
      <c r="C764" s="12"/>
      <c r="D764" s="12"/>
      <c r="E764" s="12"/>
      <c r="F764" s="12"/>
      <c r="G764" s="1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x14ac:dyDescent="0.2">
      <c r="A765" s="12"/>
      <c r="B765" s="12"/>
      <c r="C765" s="12"/>
      <c r="D765" s="12"/>
      <c r="E765" s="12"/>
      <c r="F765" s="12"/>
      <c r="G765" s="1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x14ac:dyDescent="0.2">
      <c r="A766" s="12"/>
      <c r="B766" s="12"/>
      <c r="C766" s="12"/>
      <c r="D766" s="12"/>
      <c r="E766" s="12"/>
      <c r="F766" s="12"/>
      <c r="G766" s="1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x14ac:dyDescent="0.2">
      <c r="A767" s="12"/>
      <c r="B767" s="12"/>
      <c r="C767" s="12"/>
      <c r="D767" s="12"/>
      <c r="E767" s="12"/>
      <c r="F767" s="12"/>
      <c r="G767" s="1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x14ac:dyDescent="0.2">
      <c r="A768" s="12"/>
      <c r="B768" s="12"/>
      <c r="C768" s="12"/>
      <c r="D768" s="12"/>
      <c r="E768" s="12"/>
      <c r="F768" s="12"/>
      <c r="G768" s="1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x14ac:dyDescent="0.2">
      <c r="A769" s="12"/>
      <c r="B769" s="12"/>
      <c r="C769" s="12"/>
      <c r="D769" s="12"/>
      <c r="E769" s="12"/>
      <c r="F769" s="12"/>
      <c r="G769" s="1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x14ac:dyDescent="0.2">
      <c r="A770" s="12"/>
      <c r="B770" s="12"/>
      <c r="C770" s="12"/>
      <c r="D770" s="12"/>
      <c r="E770" s="12"/>
      <c r="F770" s="12"/>
      <c r="G770" s="1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x14ac:dyDescent="0.2">
      <c r="A771" s="12"/>
      <c r="B771" s="12"/>
      <c r="C771" s="12"/>
      <c r="D771" s="12"/>
      <c r="E771" s="12"/>
      <c r="F771" s="12"/>
      <c r="G771" s="1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x14ac:dyDescent="0.2">
      <c r="A772" s="12"/>
      <c r="B772" s="12"/>
      <c r="C772" s="12"/>
      <c r="D772" s="12"/>
      <c r="E772" s="12"/>
      <c r="F772" s="12"/>
      <c r="G772" s="1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x14ac:dyDescent="0.2">
      <c r="A773" s="12"/>
      <c r="B773" s="12"/>
      <c r="C773" s="12"/>
      <c r="D773" s="12"/>
      <c r="E773" s="12"/>
      <c r="F773" s="12"/>
      <c r="G773" s="1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x14ac:dyDescent="0.2">
      <c r="A774" s="12"/>
      <c r="B774" s="12"/>
      <c r="C774" s="12"/>
      <c r="D774" s="12"/>
      <c r="E774" s="12"/>
      <c r="F774" s="12"/>
      <c r="G774" s="1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x14ac:dyDescent="0.2">
      <c r="A775" s="12"/>
      <c r="B775" s="12"/>
      <c r="C775" s="12"/>
      <c r="D775" s="12"/>
      <c r="E775" s="12"/>
      <c r="F775" s="12"/>
      <c r="G775" s="1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x14ac:dyDescent="0.2">
      <c r="A776" s="12"/>
      <c r="B776" s="12"/>
      <c r="C776" s="12"/>
      <c r="D776" s="12"/>
      <c r="E776" s="12"/>
      <c r="F776" s="12"/>
      <c r="G776" s="1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x14ac:dyDescent="0.2">
      <c r="A777" s="12"/>
      <c r="B777" s="12"/>
      <c r="C777" s="12"/>
      <c r="D777" s="12"/>
      <c r="E777" s="12"/>
      <c r="F777" s="12"/>
      <c r="G777" s="1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x14ac:dyDescent="0.2">
      <c r="A778" s="12"/>
      <c r="B778" s="12"/>
      <c r="C778" s="12"/>
      <c r="D778" s="12"/>
      <c r="E778" s="12"/>
      <c r="F778" s="12"/>
      <c r="G778" s="1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x14ac:dyDescent="0.2">
      <c r="A779" s="12"/>
      <c r="B779" s="12"/>
      <c r="C779" s="12"/>
      <c r="D779" s="12"/>
      <c r="E779" s="12"/>
      <c r="F779" s="12"/>
      <c r="G779" s="1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x14ac:dyDescent="0.2">
      <c r="A780" s="12"/>
      <c r="B780" s="12"/>
      <c r="C780" s="12"/>
      <c r="D780" s="12"/>
      <c r="E780" s="12"/>
      <c r="F780" s="12"/>
      <c r="G780" s="1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x14ac:dyDescent="0.2">
      <c r="A781" s="12"/>
      <c r="B781" s="12"/>
      <c r="C781" s="12"/>
      <c r="D781" s="12"/>
      <c r="E781" s="12"/>
      <c r="F781" s="12"/>
      <c r="G781" s="1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x14ac:dyDescent="0.2">
      <c r="A782" s="12"/>
      <c r="B782" s="12"/>
      <c r="C782" s="12"/>
      <c r="D782" s="12"/>
      <c r="E782" s="12"/>
      <c r="F782" s="12"/>
      <c r="G782" s="1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x14ac:dyDescent="0.2">
      <c r="A783" s="12"/>
      <c r="B783" s="12"/>
      <c r="C783" s="12"/>
      <c r="D783" s="12"/>
      <c r="E783" s="12"/>
      <c r="F783" s="12"/>
      <c r="G783" s="1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x14ac:dyDescent="0.2">
      <c r="A784" s="12"/>
      <c r="B784" s="12"/>
      <c r="C784" s="12"/>
      <c r="D784" s="12"/>
      <c r="E784" s="12"/>
      <c r="F784" s="12"/>
      <c r="G784" s="1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x14ac:dyDescent="0.2">
      <c r="A785" s="12"/>
      <c r="B785" s="12"/>
      <c r="C785" s="12"/>
      <c r="D785" s="12"/>
      <c r="E785" s="12"/>
      <c r="F785" s="12"/>
      <c r="G785" s="1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x14ac:dyDescent="0.2">
      <c r="A786" s="12"/>
      <c r="B786" s="12"/>
      <c r="C786" s="12"/>
      <c r="D786" s="12"/>
      <c r="E786" s="12"/>
      <c r="F786" s="12"/>
      <c r="G786" s="1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x14ac:dyDescent="0.2">
      <c r="A787" s="12"/>
      <c r="B787" s="12"/>
      <c r="C787" s="12"/>
      <c r="D787" s="12"/>
      <c r="E787" s="12"/>
      <c r="F787" s="12"/>
      <c r="G787" s="1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x14ac:dyDescent="0.2">
      <c r="A788" s="12"/>
      <c r="B788" s="12"/>
      <c r="C788" s="12"/>
      <c r="D788" s="12"/>
      <c r="E788" s="12"/>
      <c r="F788" s="12"/>
      <c r="G788" s="1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x14ac:dyDescent="0.2">
      <c r="A789" s="12"/>
      <c r="B789" s="12"/>
      <c r="C789" s="12"/>
      <c r="D789" s="12"/>
      <c r="E789" s="12"/>
      <c r="F789" s="12"/>
      <c r="G789" s="1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</sheetData>
  <hyperlinks>
    <hyperlink ref="H2" r:id="rId1" xr:uid="{00000000-0004-0000-0000-000000000000}"/>
    <hyperlink ref="I2" r:id="rId2" xr:uid="{00000000-0004-0000-0000-000001000000}"/>
    <hyperlink ref="V2" r:id="rId3" xr:uid="{00000000-0004-0000-0000-000002000000}"/>
    <hyperlink ref="H3" r:id="rId4" xr:uid="{00000000-0004-0000-0000-000003000000}"/>
    <hyperlink ref="I3" r:id="rId5" xr:uid="{00000000-0004-0000-0000-000004000000}"/>
    <hyperlink ref="V3" r:id="rId6" xr:uid="{00000000-0004-0000-0000-000005000000}"/>
    <hyperlink ref="H4" r:id="rId7" xr:uid="{00000000-0004-0000-0000-000006000000}"/>
    <hyperlink ref="I4" r:id="rId8" xr:uid="{00000000-0004-0000-0000-000007000000}"/>
    <hyperlink ref="H5" r:id="rId9" xr:uid="{00000000-0004-0000-0000-000008000000}"/>
    <hyperlink ref="I5" r:id="rId10" xr:uid="{00000000-0004-0000-0000-000009000000}"/>
    <hyperlink ref="V5" r:id="rId11" xr:uid="{00000000-0004-0000-0000-00000A000000}"/>
    <hyperlink ref="W5" r:id="rId12" xr:uid="{00000000-0004-0000-0000-00000B000000}"/>
    <hyperlink ref="H6" r:id="rId13" xr:uid="{00000000-0004-0000-0000-00000C000000}"/>
    <hyperlink ref="I6" r:id="rId14" xr:uid="{00000000-0004-0000-0000-00000D000000}"/>
    <hyperlink ref="V6" r:id="rId15" xr:uid="{00000000-0004-0000-0000-00000E000000}"/>
    <hyperlink ref="H7" r:id="rId16" xr:uid="{00000000-0004-0000-0000-00000F000000}"/>
    <hyperlink ref="I7" r:id="rId17" xr:uid="{00000000-0004-0000-0000-000010000000}"/>
    <hyperlink ref="V7" r:id="rId18" xr:uid="{00000000-0004-0000-0000-000011000000}"/>
    <hyperlink ref="W7" r:id="rId19" xr:uid="{00000000-0004-0000-0000-000012000000}"/>
    <hyperlink ref="I8" r:id="rId20" xr:uid="{00000000-0004-0000-0000-000013000000}"/>
    <hyperlink ref="V8" r:id="rId21" xr:uid="{00000000-0004-0000-0000-000014000000}"/>
    <hyperlink ref="I9" r:id="rId22" xr:uid="{00000000-0004-0000-0000-000015000000}"/>
    <hyperlink ref="V9" r:id="rId23" xr:uid="{00000000-0004-0000-0000-000016000000}"/>
    <hyperlink ref="I10" r:id="rId24" xr:uid="{00000000-0004-0000-0000-000017000000}"/>
    <hyperlink ref="V10" r:id="rId25" xr:uid="{00000000-0004-0000-0000-000018000000}"/>
    <hyperlink ref="H11" r:id="rId26" xr:uid="{00000000-0004-0000-0000-000019000000}"/>
    <hyperlink ref="I11" r:id="rId27" xr:uid="{00000000-0004-0000-0000-00001A000000}"/>
    <hyperlink ref="V11" r:id="rId28" xr:uid="{00000000-0004-0000-0000-00001B000000}"/>
    <hyperlink ref="H12" r:id="rId29" xr:uid="{00000000-0004-0000-0000-00001C000000}"/>
    <hyperlink ref="V12" r:id="rId30" xr:uid="{00000000-0004-0000-0000-00001D000000}"/>
    <hyperlink ref="H13" r:id="rId31" xr:uid="{00000000-0004-0000-0000-00001E000000}"/>
    <hyperlink ref="V13" r:id="rId32" xr:uid="{00000000-0004-0000-0000-00001F000000}"/>
    <hyperlink ref="H14" r:id="rId33" xr:uid="{00000000-0004-0000-0000-000020000000}"/>
    <hyperlink ref="I14" r:id="rId34" xr:uid="{00000000-0004-0000-0000-000021000000}"/>
    <hyperlink ref="V14" r:id="rId35" xr:uid="{00000000-0004-0000-0000-000022000000}"/>
    <hyperlink ref="W14" r:id="rId36" xr:uid="{00000000-0004-0000-0000-000023000000}"/>
    <hyperlink ref="H15" r:id="rId37" xr:uid="{00000000-0004-0000-0000-000024000000}"/>
    <hyperlink ref="I15" r:id="rId38" xr:uid="{00000000-0004-0000-0000-000025000000}"/>
    <hyperlink ref="H16" r:id="rId39" xr:uid="{00000000-0004-0000-0000-000026000000}"/>
    <hyperlink ref="I16" r:id="rId40" xr:uid="{00000000-0004-0000-0000-000027000000}"/>
    <hyperlink ref="H17" r:id="rId41" xr:uid="{00000000-0004-0000-0000-000028000000}"/>
    <hyperlink ref="I17" r:id="rId42" xr:uid="{00000000-0004-0000-0000-000029000000}"/>
    <hyperlink ref="V17" r:id="rId43" xr:uid="{00000000-0004-0000-0000-00002A000000}"/>
    <hyperlink ref="H18" r:id="rId44" xr:uid="{00000000-0004-0000-0000-00002B000000}"/>
    <hyperlink ref="I18" r:id="rId45" xr:uid="{00000000-0004-0000-0000-00002C000000}"/>
    <hyperlink ref="V18" r:id="rId46" xr:uid="{00000000-0004-0000-0000-00002D000000}"/>
    <hyperlink ref="H19" r:id="rId47" xr:uid="{00000000-0004-0000-0000-00002E000000}"/>
    <hyperlink ref="I19" r:id="rId48" xr:uid="{00000000-0004-0000-0000-00002F000000}"/>
    <hyperlink ref="V19" r:id="rId49" xr:uid="{00000000-0004-0000-0000-000030000000}"/>
    <hyperlink ref="H20" r:id="rId50" xr:uid="{00000000-0004-0000-0000-000031000000}"/>
    <hyperlink ref="I20" r:id="rId51" xr:uid="{00000000-0004-0000-0000-000032000000}"/>
    <hyperlink ref="V20" r:id="rId52" xr:uid="{00000000-0004-0000-0000-000033000000}"/>
    <hyperlink ref="H21" r:id="rId53" xr:uid="{00000000-0004-0000-0000-000034000000}"/>
    <hyperlink ref="I21" r:id="rId54" xr:uid="{00000000-0004-0000-0000-000035000000}"/>
    <hyperlink ref="V21" r:id="rId55" xr:uid="{00000000-0004-0000-0000-000036000000}"/>
    <hyperlink ref="W21" r:id="rId56" xr:uid="{00000000-0004-0000-0000-000037000000}"/>
    <hyperlink ref="H22" r:id="rId57" xr:uid="{00000000-0004-0000-0000-000038000000}"/>
    <hyperlink ref="I22" r:id="rId58" xr:uid="{00000000-0004-0000-0000-000039000000}"/>
    <hyperlink ref="V22" r:id="rId59" xr:uid="{00000000-0004-0000-0000-00003A000000}"/>
    <hyperlink ref="W22" r:id="rId60" xr:uid="{00000000-0004-0000-0000-00003B000000}"/>
    <hyperlink ref="H23" r:id="rId61" xr:uid="{00000000-0004-0000-0000-00003C000000}"/>
    <hyperlink ref="I23" r:id="rId62" xr:uid="{00000000-0004-0000-0000-00003D000000}"/>
    <hyperlink ref="H24" r:id="rId63" xr:uid="{00000000-0004-0000-0000-00003E000000}"/>
    <hyperlink ref="I24" r:id="rId64" xr:uid="{00000000-0004-0000-0000-00003F000000}"/>
    <hyperlink ref="H25" r:id="rId65" xr:uid="{00000000-0004-0000-0000-000040000000}"/>
    <hyperlink ref="W25" r:id="rId66" xr:uid="{00000000-0004-0000-0000-000041000000}"/>
    <hyperlink ref="H26" r:id="rId67" xr:uid="{00000000-0004-0000-0000-000042000000}"/>
    <hyperlink ref="W26" r:id="rId68" xr:uid="{00000000-0004-0000-0000-000043000000}"/>
    <hyperlink ref="H27" r:id="rId69" xr:uid="{00000000-0004-0000-0000-000044000000}"/>
    <hyperlink ref="I27" r:id="rId70" xr:uid="{00000000-0004-0000-0000-000045000000}"/>
    <hyperlink ref="H28" r:id="rId71" xr:uid="{00000000-0004-0000-0000-000046000000}"/>
    <hyperlink ref="I28" r:id="rId72" xr:uid="{00000000-0004-0000-0000-000047000000}"/>
    <hyperlink ref="H29" r:id="rId73" xr:uid="{00000000-0004-0000-0000-000048000000}"/>
    <hyperlink ref="I29" r:id="rId74" xr:uid="{00000000-0004-0000-0000-000049000000}"/>
    <hyperlink ref="H30" r:id="rId75" xr:uid="{00000000-0004-0000-0000-00004A000000}"/>
    <hyperlink ref="I30" r:id="rId76" xr:uid="{00000000-0004-0000-0000-00004B000000}"/>
    <hyperlink ref="H31" r:id="rId77" xr:uid="{00000000-0004-0000-0000-00004C000000}"/>
    <hyperlink ref="I31" r:id="rId78" xr:uid="{00000000-0004-0000-0000-00004D000000}"/>
    <hyperlink ref="H32" r:id="rId79" xr:uid="{00000000-0004-0000-0000-00004E000000}"/>
    <hyperlink ref="I32" r:id="rId80" xr:uid="{00000000-0004-0000-0000-00004F000000}"/>
    <hyperlink ref="H33" r:id="rId81" xr:uid="{00000000-0004-0000-0000-000050000000}"/>
    <hyperlink ref="I33" r:id="rId82" xr:uid="{00000000-0004-0000-0000-00005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>
      <selection activeCell="AC12" sqref="AC12"/>
    </sheetView>
  </sheetViews>
  <sheetFormatPr defaultColWidth="12.5703125" defaultRowHeight="15.75" customHeight="1" x14ac:dyDescent="0.2"/>
  <cols>
    <col min="1" max="1" width="8.85546875" customWidth="1"/>
    <col min="2" max="2" width="10" bestFit="1" customWidth="1"/>
    <col min="3" max="3" width="44.42578125" customWidth="1"/>
    <col min="4" max="4" width="23.42578125" customWidth="1"/>
    <col min="5" max="5" width="22.42578125" customWidth="1"/>
    <col min="6" max="6" width="15.42578125" customWidth="1"/>
    <col min="7" max="7" width="53.42578125" customWidth="1"/>
    <col min="8" max="8" width="30.42578125" customWidth="1"/>
    <col min="9" max="9" width="1446.7109375" customWidth="1"/>
    <col min="10" max="10" width="14.140625" customWidth="1"/>
    <col min="11" max="11" width="28" customWidth="1"/>
    <col min="12" max="12" width="14.140625" customWidth="1"/>
    <col min="13" max="13" width="13.85546875" customWidth="1"/>
    <col min="14" max="14" width="14.140625" customWidth="1"/>
    <col min="15" max="15" width="16.140625" customWidth="1"/>
    <col min="16" max="16" width="14.140625" customWidth="1"/>
    <col min="17" max="17" width="13.85546875" customWidth="1"/>
    <col min="18" max="18" width="14.140625" customWidth="1"/>
    <col min="19" max="19" width="26.140625" customWidth="1"/>
    <col min="20" max="20" width="26" customWidth="1"/>
    <col min="21" max="21" width="44.42578125" customWidth="1"/>
    <col min="22" max="22" width="173.42578125" customWidth="1"/>
    <col min="23" max="23" width="153.42578125" customWidth="1"/>
    <col min="24" max="24" width="202.28515625" customWidth="1"/>
    <col min="25" max="25" width="16" customWidth="1"/>
    <col min="26" max="26" width="18.28515625" bestFit="1" customWidth="1"/>
    <col min="27" max="27" width="77.28515625" customWidth="1"/>
    <col min="28" max="28" width="7.28515625" customWidth="1"/>
    <col min="29" max="29" width="56.140625" customWidth="1"/>
  </cols>
  <sheetData>
    <row r="1" spans="1:29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296</v>
      </c>
      <c r="AB1" s="14" t="s">
        <v>297</v>
      </c>
      <c r="AC1" s="14" t="s">
        <v>298</v>
      </c>
    </row>
    <row r="2" spans="1:29" ht="15.75" customHeight="1" x14ac:dyDescent="0.25">
      <c r="B2" s="15">
        <v>100596554</v>
      </c>
      <c r="C2" s="15" t="s">
        <v>41</v>
      </c>
      <c r="D2" s="15" t="s">
        <v>27</v>
      </c>
      <c r="E2" s="15" t="s">
        <v>28</v>
      </c>
      <c r="F2" s="15" t="s">
        <v>28</v>
      </c>
      <c r="G2" s="15" t="s">
        <v>29</v>
      </c>
      <c r="H2" s="16" t="s">
        <v>42</v>
      </c>
      <c r="I2" s="16" t="s">
        <v>43</v>
      </c>
      <c r="J2" s="15" t="s">
        <v>32</v>
      </c>
      <c r="K2" s="15" t="s">
        <v>33</v>
      </c>
      <c r="L2" s="15" t="s">
        <v>34</v>
      </c>
      <c r="M2" s="15" t="s">
        <v>44</v>
      </c>
      <c r="S2" s="15" t="s">
        <v>36</v>
      </c>
      <c r="T2" s="15" t="s">
        <v>37</v>
      </c>
      <c r="U2" s="15" t="s">
        <v>45</v>
      </c>
      <c r="V2" s="16" t="s">
        <v>46</v>
      </c>
      <c r="Y2" s="15" t="s">
        <v>40</v>
      </c>
      <c r="Z2" s="17">
        <v>45545</v>
      </c>
      <c r="AA2" s="15" t="s">
        <v>299</v>
      </c>
      <c r="AB2" s="15" t="s">
        <v>300</v>
      </c>
      <c r="AC2" s="15" t="s">
        <v>302</v>
      </c>
    </row>
    <row r="3" spans="1:29" ht="15.75" customHeight="1" x14ac:dyDescent="0.25">
      <c r="B3" s="15">
        <v>100596557</v>
      </c>
      <c r="C3" s="15" t="s">
        <v>26</v>
      </c>
      <c r="D3" s="15" t="s">
        <v>27</v>
      </c>
      <c r="E3" s="15" t="s">
        <v>28</v>
      </c>
      <c r="F3" s="15" t="s">
        <v>28</v>
      </c>
      <c r="G3" s="15" t="s">
        <v>29</v>
      </c>
      <c r="H3" s="16" t="s">
        <v>30</v>
      </c>
      <c r="I3" s="16" t="s">
        <v>31</v>
      </c>
      <c r="J3" s="15" t="s">
        <v>32</v>
      </c>
      <c r="K3" s="15" t="s">
        <v>33</v>
      </c>
      <c r="L3" s="15" t="s">
        <v>34</v>
      </c>
      <c r="M3" s="15" t="s">
        <v>35</v>
      </c>
      <c r="S3" s="15" t="s">
        <v>36</v>
      </c>
      <c r="T3" s="15" t="s">
        <v>37</v>
      </c>
      <c r="U3" s="15" t="s">
        <v>38</v>
      </c>
      <c r="V3" s="16" t="s">
        <v>39</v>
      </c>
      <c r="Y3" s="15" t="s">
        <v>40</v>
      </c>
      <c r="Z3" s="17">
        <v>45545</v>
      </c>
      <c r="AA3" s="15" t="s">
        <v>299</v>
      </c>
      <c r="AB3" s="15" t="s">
        <v>300</v>
      </c>
      <c r="AC3" s="15" t="s">
        <v>301</v>
      </c>
    </row>
    <row r="4" spans="1:29" ht="15.75" customHeight="1" x14ac:dyDescent="0.25">
      <c r="B4" s="15">
        <v>100656809</v>
      </c>
      <c r="C4" s="15" t="s">
        <v>273</v>
      </c>
      <c r="D4" s="15" t="s">
        <v>274</v>
      </c>
      <c r="E4" s="15" t="s">
        <v>86</v>
      </c>
      <c r="F4" s="15" t="s">
        <v>275</v>
      </c>
      <c r="G4" s="15" t="s">
        <v>276</v>
      </c>
      <c r="H4" s="16" t="s">
        <v>277</v>
      </c>
      <c r="I4" s="16" t="s">
        <v>278</v>
      </c>
      <c r="J4" s="15" t="s">
        <v>279</v>
      </c>
      <c r="K4" s="15" t="s">
        <v>193</v>
      </c>
      <c r="L4" s="15" t="s">
        <v>217</v>
      </c>
      <c r="M4" s="15" t="s">
        <v>280</v>
      </c>
      <c r="N4" s="15" t="s">
        <v>34</v>
      </c>
      <c r="O4" s="15" t="s">
        <v>281</v>
      </c>
      <c r="S4" s="15" t="s">
        <v>282</v>
      </c>
      <c r="T4" s="15" t="s">
        <v>283</v>
      </c>
      <c r="U4" s="15" t="s">
        <v>284</v>
      </c>
      <c r="Y4" s="15" t="s">
        <v>148</v>
      </c>
      <c r="Z4" s="17">
        <v>45776</v>
      </c>
      <c r="AA4" s="15" t="s">
        <v>358</v>
      </c>
      <c r="AB4" s="15" t="s">
        <v>359</v>
      </c>
      <c r="AC4" s="15" t="s">
        <v>360</v>
      </c>
    </row>
    <row r="5" spans="1:29" ht="15.75" customHeight="1" x14ac:dyDescent="0.25">
      <c r="B5" s="15">
        <v>100656795</v>
      </c>
      <c r="C5" s="15" t="s">
        <v>285</v>
      </c>
      <c r="D5" s="15" t="s">
        <v>286</v>
      </c>
      <c r="E5" s="15" t="s">
        <v>86</v>
      </c>
      <c r="F5" s="15" t="s">
        <v>275</v>
      </c>
      <c r="G5" s="15" t="s">
        <v>287</v>
      </c>
      <c r="H5" s="16" t="s">
        <v>288</v>
      </c>
      <c r="I5" s="16" t="s">
        <v>289</v>
      </c>
      <c r="J5" s="15" t="s">
        <v>279</v>
      </c>
      <c r="K5" s="15" t="s">
        <v>193</v>
      </c>
      <c r="L5" s="15" t="s">
        <v>217</v>
      </c>
      <c r="M5" s="15" t="s">
        <v>280</v>
      </c>
      <c r="N5" s="15" t="s">
        <v>34</v>
      </c>
      <c r="O5" s="15" t="s">
        <v>281</v>
      </c>
      <c r="S5" s="15" t="s">
        <v>282</v>
      </c>
      <c r="T5" s="15" t="s">
        <v>221</v>
      </c>
      <c r="U5" s="15" t="s">
        <v>290</v>
      </c>
      <c r="Y5" s="15" t="s">
        <v>148</v>
      </c>
      <c r="Z5" s="17">
        <v>45776</v>
      </c>
      <c r="AA5" s="15" t="s">
        <v>361</v>
      </c>
      <c r="AB5" s="15" t="s">
        <v>362</v>
      </c>
      <c r="AC5" s="15" t="s">
        <v>360</v>
      </c>
    </row>
    <row r="6" spans="1:29" ht="15.75" customHeight="1" x14ac:dyDescent="0.25">
      <c r="B6" s="15">
        <v>100657244</v>
      </c>
      <c r="C6" s="15" t="s">
        <v>291</v>
      </c>
      <c r="D6" s="15" t="s">
        <v>292</v>
      </c>
      <c r="E6" s="15" t="s">
        <v>86</v>
      </c>
      <c r="F6" s="15" t="s">
        <v>275</v>
      </c>
      <c r="G6" s="15" t="s">
        <v>293</v>
      </c>
      <c r="H6" s="16" t="s">
        <v>294</v>
      </c>
      <c r="I6" s="16" t="s">
        <v>295</v>
      </c>
      <c r="J6" s="15" t="s">
        <v>279</v>
      </c>
      <c r="K6" s="15" t="s">
        <v>193</v>
      </c>
      <c r="L6" s="15" t="s">
        <v>217</v>
      </c>
      <c r="M6" s="15" t="s">
        <v>280</v>
      </c>
      <c r="N6" s="15" t="s">
        <v>34</v>
      </c>
      <c r="O6" s="15" t="s">
        <v>281</v>
      </c>
      <c r="S6" s="15" t="s">
        <v>282</v>
      </c>
      <c r="T6" s="15" t="s">
        <v>283</v>
      </c>
      <c r="Y6" s="15" t="s">
        <v>148</v>
      </c>
      <c r="Z6" s="17">
        <v>45776</v>
      </c>
      <c r="AA6" s="15" t="s">
        <v>363</v>
      </c>
      <c r="AB6" s="15" t="s">
        <v>364</v>
      </c>
      <c r="AC6" s="15" t="s">
        <v>360</v>
      </c>
    </row>
    <row r="7" spans="1:29" ht="15.75" customHeight="1" x14ac:dyDescent="0.25">
      <c r="B7" s="15">
        <v>100559774</v>
      </c>
      <c r="C7" s="15" t="s">
        <v>210</v>
      </c>
      <c r="D7" s="15" t="s">
        <v>211</v>
      </c>
      <c r="E7" s="15" t="s">
        <v>212</v>
      </c>
      <c r="F7" s="15" t="s">
        <v>213</v>
      </c>
      <c r="G7" s="15" t="s">
        <v>214</v>
      </c>
      <c r="H7" s="16" t="s">
        <v>215</v>
      </c>
      <c r="I7" s="16" t="s">
        <v>216</v>
      </c>
      <c r="J7" s="15" t="s">
        <v>217</v>
      </c>
      <c r="K7" s="15" t="s">
        <v>218</v>
      </c>
      <c r="L7" s="15" t="s">
        <v>34</v>
      </c>
      <c r="M7" s="15" t="s">
        <v>219</v>
      </c>
      <c r="N7" s="15" t="s">
        <v>143</v>
      </c>
      <c r="O7" s="15" t="s">
        <v>114</v>
      </c>
      <c r="S7" s="15" t="s">
        <v>220</v>
      </c>
      <c r="T7" s="15" t="s">
        <v>221</v>
      </c>
      <c r="U7" s="15" t="s">
        <v>222</v>
      </c>
      <c r="V7" s="16" t="s">
        <v>223</v>
      </c>
      <c r="W7" s="16" t="s">
        <v>224</v>
      </c>
      <c r="X7" s="15" t="s">
        <v>225</v>
      </c>
      <c r="Y7" s="15" t="s">
        <v>148</v>
      </c>
      <c r="Z7" s="17">
        <v>45419</v>
      </c>
      <c r="AA7" s="15" t="s">
        <v>346</v>
      </c>
      <c r="AB7" s="15" t="s">
        <v>347</v>
      </c>
      <c r="AC7" s="15" t="s">
        <v>348</v>
      </c>
    </row>
    <row r="8" spans="1:29" ht="15.75" customHeight="1" x14ac:dyDescent="0.25">
      <c r="B8" s="15">
        <v>100559775</v>
      </c>
      <c r="C8" s="15" t="s">
        <v>226</v>
      </c>
      <c r="D8" s="15" t="s">
        <v>211</v>
      </c>
      <c r="E8" s="15" t="s">
        <v>212</v>
      </c>
      <c r="F8" s="15" t="s">
        <v>213</v>
      </c>
      <c r="G8" s="15" t="s">
        <v>214</v>
      </c>
      <c r="H8" s="16" t="s">
        <v>227</v>
      </c>
      <c r="I8" s="16" t="s">
        <v>228</v>
      </c>
      <c r="J8" s="15" t="s">
        <v>217</v>
      </c>
      <c r="K8" s="15" t="s">
        <v>218</v>
      </c>
      <c r="L8" s="15" t="s">
        <v>34</v>
      </c>
      <c r="M8" s="15" t="s">
        <v>219</v>
      </c>
      <c r="N8" s="15" t="s">
        <v>143</v>
      </c>
      <c r="O8" s="15" t="s">
        <v>120</v>
      </c>
      <c r="S8" s="15" t="s">
        <v>220</v>
      </c>
      <c r="T8" s="15" t="s">
        <v>221</v>
      </c>
      <c r="U8" s="15" t="s">
        <v>229</v>
      </c>
      <c r="V8" s="16" t="s">
        <v>230</v>
      </c>
      <c r="W8" s="16" t="s">
        <v>231</v>
      </c>
      <c r="X8" s="15" t="s">
        <v>232</v>
      </c>
      <c r="Y8" s="15" t="s">
        <v>148</v>
      </c>
      <c r="Z8" s="17">
        <v>45419</v>
      </c>
      <c r="AA8" s="15" t="s">
        <v>346</v>
      </c>
      <c r="AB8" s="15" t="s">
        <v>347</v>
      </c>
      <c r="AC8" s="15" t="s">
        <v>349</v>
      </c>
    </row>
    <row r="9" spans="1:29" ht="15.75" customHeight="1" x14ac:dyDescent="0.25">
      <c r="B9" s="15">
        <v>100661719</v>
      </c>
      <c r="C9" s="15" t="s">
        <v>241</v>
      </c>
      <c r="D9" s="15" t="s">
        <v>211</v>
      </c>
      <c r="E9" s="15" t="s">
        <v>212</v>
      </c>
      <c r="F9" s="15" t="s">
        <v>213</v>
      </c>
      <c r="G9" s="15" t="s">
        <v>214</v>
      </c>
      <c r="H9" s="16" t="s">
        <v>242</v>
      </c>
      <c r="I9" s="16" t="s">
        <v>243</v>
      </c>
      <c r="J9" s="15" t="s">
        <v>217</v>
      </c>
      <c r="K9" s="15" t="s">
        <v>236</v>
      </c>
      <c r="L9" s="15" t="s">
        <v>34</v>
      </c>
      <c r="M9" s="15" t="s">
        <v>237</v>
      </c>
      <c r="N9" s="15" t="s">
        <v>143</v>
      </c>
      <c r="O9" s="15" t="s">
        <v>120</v>
      </c>
      <c r="S9" s="15" t="s">
        <v>220</v>
      </c>
      <c r="T9" s="15" t="s">
        <v>221</v>
      </c>
      <c r="U9" s="15" t="s">
        <v>241</v>
      </c>
      <c r="V9" s="16" t="s">
        <v>244</v>
      </c>
      <c r="W9" s="16" t="s">
        <v>245</v>
      </c>
      <c r="X9" s="15" t="s">
        <v>246</v>
      </c>
      <c r="Y9" s="15" t="s">
        <v>148</v>
      </c>
      <c r="Z9" s="17">
        <v>45768</v>
      </c>
      <c r="AA9" s="15" t="s">
        <v>346</v>
      </c>
      <c r="AB9" s="15" t="s">
        <v>347</v>
      </c>
      <c r="AC9" s="15" t="s">
        <v>351</v>
      </c>
    </row>
    <row r="10" spans="1:29" ht="15.75" customHeight="1" x14ac:dyDescent="0.25">
      <c r="B10" s="15">
        <v>100673417</v>
      </c>
      <c r="C10" s="15" t="s">
        <v>233</v>
      </c>
      <c r="D10" s="15" t="s">
        <v>211</v>
      </c>
      <c r="E10" s="15" t="s">
        <v>212</v>
      </c>
      <c r="F10" s="15" t="s">
        <v>213</v>
      </c>
      <c r="G10" s="15" t="s">
        <v>214</v>
      </c>
      <c r="H10" s="16" t="s">
        <v>234</v>
      </c>
      <c r="I10" s="16" t="s">
        <v>235</v>
      </c>
      <c r="J10" s="15" t="s">
        <v>217</v>
      </c>
      <c r="K10" s="15" t="s">
        <v>236</v>
      </c>
      <c r="L10" s="15" t="s">
        <v>34</v>
      </c>
      <c r="M10" s="15" t="s">
        <v>237</v>
      </c>
      <c r="N10" s="15" t="s">
        <v>143</v>
      </c>
      <c r="O10" s="15" t="s">
        <v>114</v>
      </c>
      <c r="S10" s="15" t="s">
        <v>220</v>
      </c>
      <c r="T10" s="15" t="s">
        <v>221</v>
      </c>
      <c r="U10" s="15" t="s">
        <v>233</v>
      </c>
      <c r="V10" s="16" t="s">
        <v>238</v>
      </c>
      <c r="W10" s="16" t="s">
        <v>239</v>
      </c>
      <c r="X10" s="15" t="s">
        <v>240</v>
      </c>
      <c r="Y10" s="15" t="s">
        <v>148</v>
      </c>
      <c r="Z10" s="17">
        <v>45768</v>
      </c>
      <c r="AA10" s="15" t="s">
        <v>346</v>
      </c>
      <c r="AB10" s="15" t="s">
        <v>347</v>
      </c>
      <c r="AC10" s="15" t="s">
        <v>350</v>
      </c>
    </row>
    <row r="11" spans="1:29" ht="15.75" customHeight="1" x14ac:dyDescent="0.25">
      <c r="B11" s="15">
        <v>100559923</v>
      </c>
      <c r="C11" s="15" t="s">
        <v>247</v>
      </c>
      <c r="D11" s="15" t="s">
        <v>248</v>
      </c>
      <c r="E11" s="15" t="s">
        <v>212</v>
      </c>
      <c r="F11" s="15" t="s">
        <v>213</v>
      </c>
      <c r="G11" s="15" t="s">
        <v>249</v>
      </c>
      <c r="H11" s="16" t="s">
        <v>250</v>
      </c>
      <c r="I11" s="16" t="s">
        <v>251</v>
      </c>
      <c r="J11" s="15" t="s">
        <v>54</v>
      </c>
      <c r="K11" s="15" t="s">
        <v>252</v>
      </c>
      <c r="L11" s="15" t="s">
        <v>217</v>
      </c>
      <c r="M11" s="15" t="s">
        <v>218</v>
      </c>
      <c r="N11" s="15" t="s">
        <v>34</v>
      </c>
      <c r="O11" s="15" t="s">
        <v>219</v>
      </c>
      <c r="P11" s="15" t="s">
        <v>143</v>
      </c>
      <c r="Q11" s="15" t="s">
        <v>114</v>
      </c>
      <c r="S11" s="15" t="s">
        <v>220</v>
      </c>
      <c r="T11" s="15" t="s">
        <v>253</v>
      </c>
      <c r="U11" s="15" t="s">
        <v>254</v>
      </c>
      <c r="V11" s="16" t="s">
        <v>223</v>
      </c>
      <c r="W11" s="16" t="s">
        <v>224</v>
      </c>
      <c r="X11" s="15" t="s">
        <v>225</v>
      </c>
      <c r="Y11" s="15" t="s">
        <v>148</v>
      </c>
      <c r="Z11" s="17">
        <v>45419</v>
      </c>
      <c r="AA11" s="15" t="s">
        <v>352</v>
      </c>
      <c r="AB11" s="15" t="s">
        <v>353</v>
      </c>
      <c r="AC11" s="15" t="s">
        <v>354</v>
      </c>
    </row>
    <row r="12" spans="1:29" ht="15.75" customHeight="1" x14ac:dyDescent="0.25">
      <c r="B12" s="15">
        <v>100559924</v>
      </c>
      <c r="C12" s="15" t="s">
        <v>255</v>
      </c>
      <c r="D12" s="15" t="s">
        <v>248</v>
      </c>
      <c r="E12" s="15" t="s">
        <v>212</v>
      </c>
      <c r="F12" s="15" t="s">
        <v>213</v>
      </c>
      <c r="G12" s="15" t="s">
        <v>249</v>
      </c>
      <c r="H12" s="16" t="s">
        <v>256</v>
      </c>
      <c r="I12" s="16" t="s">
        <v>257</v>
      </c>
      <c r="J12" s="15" t="s">
        <v>54</v>
      </c>
      <c r="K12" s="15" t="s">
        <v>252</v>
      </c>
      <c r="L12" s="15" t="s">
        <v>217</v>
      </c>
      <c r="M12" s="15" t="s">
        <v>218</v>
      </c>
      <c r="N12" s="15" t="s">
        <v>34</v>
      </c>
      <c r="O12" s="15" t="s">
        <v>219</v>
      </c>
      <c r="P12" s="15" t="s">
        <v>143</v>
      </c>
      <c r="Q12" s="15" t="s">
        <v>120</v>
      </c>
      <c r="S12" s="15" t="s">
        <v>220</v>
      </c>
      <c r="T12" s="15" t="s">
        <v>253</v>
      </c>
      <c r="U12" s="15" t="s">
        <v>258</v>
      </c>
      <c r="V12" s="16" t="s">
        <v>230</v>
      </c>
      <c r="W12" s="16" t="s">
        <v>231</v>
      </c>
      <c r="X12" s="15" t="s">
        <v>232</v>
      </c>
      <c r="Y12" s="15" t="s">
        <v>148</v>
      </c>
      <c r="Z12" s="17">
        <v>45419</v>
      </c>
      <c r="AA12" s="15" t="s">
        <v>352</v>
      </c>
      <c r="AB12" s="15" t="s">
        <v>353</v>
      </c>
      <c r="AC12" s="15" t="s">
        <v>355</v>
      </c>
    </row>
    <row r="13" spans="1:29" ht="15.75" customHeight="1" x14ac:dyDescent="0.25">
      <c r="B13" s="15">
        <v>100578777</v>
      </c>
      <c r="C13" s="15" t="s">
        <v>267</v>
      </c>
      <c r="D13" s="15" t="s">
        <v>248</v>
      </c>
      <c r="E13" s="15" t="s">
        <v>212</v>
      </c>
      <c r="F13" s="15" t="s">
        <v>213</v>
      </c>
      <c r="G13" s="15" t="s">
        <v>249</v>
      </c>
      <c r="H13" s="16" t="s">
        <v>268</v>
      </c>
      <c r="I13" s="16" t="s">
        <v>269</v>
      </c>
      <c r="J13" s="15" t="s">
        <v>54</v>
      </c>
      <c r="K13" s="15" t="s">
        <v>252</v>
      </c>
      <c r="L13" s="15" t="s">
        <v>217</v>
      </c>
      <c r="M13" s="15" t="s">
        <v>262</v>
      </c>
      <c r="N13" s="15" t="s">
        <v>34</v>
      </c>
      <c r="O13" s="15" t="s">
        <v>263</v>
      </c>
      <c r="P13" s="15" t="s">
        <v>143</v>
      </c>
      <c r="Q13" s="15" t="s">
        <v>120</v>
      </c>
      <c r="S13" s="15" t="s">
        <v>220</v>
      </c>
      <c r="T13" s="15" t="s">
        <v>253</v>
      </c>
      <c r="U13" s="15" t="s">
        <v>270</v>
      </c>
      <c r="V13" s="16" t="s">
        <v>271</v>
      </c>
      <c r="W13" s="16" t="s">
        <v>271</v>
      </c>
      <c r="X13" s="15" t="s">
        <v>272</v>
      </c>
      <c r="Y13" s="15" t="s">
        <v>148</v>
      </c>
      <c r="Z13" s="17">
        <v>45496</v>
      </c>
      <c r="AA13" s="15" t="s">
        <v>352</v>
      </c>
      <c r="AB13" s="15" t="s">
        <v>353</v>
      </c>
      <c r="AC13" s="15" t="s">
        <v>357</v>
      </c>
    </row>
    <row r="14" spans="1:29" ht="15.75" customHeight="1" x14ac:dyDescent="0.25">
      <c r="B14" s="15">
        <v>100578875</v>
      </c>
      <c r="C14" s="15" t="s">
        <v>259</v>
      </c>
      <c r="D14" s="15" t="s">
        <v>248</v>
      </c>
      <c r="E14" s="15" t="s">
        <v>212</v>
      </c>
      <c r="F14" s="15" t="s">
        <v>213</v>
      </c>
      <c r="G14" s="15" t="s">
        <v>249</v>
      </c>
      <c r="H14" s="16" t="s">
        <v>260</v>
      </c>
      <c r="I14" s="16" t="s">
        <v>261</v>
      </c>
      <c r="J14" s="15" t="s">
        <v>54</v>
      </c>
      <c r="K14" s="15" t="s">
        <v>252</v>
      </c>
      <c r="L14" s="15" t="s">
        <v>217</v>
      </c>
      <c r="M14" s="15" t="s">
        <v>262</v>
      </c>
      <c r="N14" s="15" t="s">
        <v>34</v>
      </c>
      <c r="O14" s="15" t="s">
        <v>263</v>
      </c>
      <c r="P14" s="15" t="s">
        <v>143</v>
      </c>
      <c r="Q14" s="15" t="s">
        <v>114</v>
      </c>
      <c r="S14" s="15" t="s">
        <v>220</v>
      </c>
      <c r="T14" s="15" t="s">
        <v>253</v>
      </c>
      <c r="U14" s="15" t="s">
        <v>264</v>
      </c>
      <c r="V14" s="16" t="s">
        <v>265</v>
      </c>
      <c r="W14" s="16" t="s">
        <v>265</v>
      </c>
      <c r="X14" s="15" t="s">
        <v>266</v>
      </c>
      <c r="Y14" s="15" t="s">
        <v>148</v>
      </c>
      <c r="Z14" s="17">
        <v>45496</v>
      </c>
      <c r="AA14" s="15" t="s">
        <v>352</v>
      </c>
      <c r="AB14" s="15" t="s">
        <v>353</v>
      </c>
      <c r="AC14" s="15" t="s">
        <v>356</v>
      </c>
    </row>
    <row r="15" spans="1:29" ht="15.75" customHeight="1" x14ac:dyDescent="0.25">
      <c r="B15" s="15">
        <v>655422</v>
      </c>
      <c r="C15" s="15" t="s">
        <v>47</v>
      </c>
      <c r="D15" s="15" t="s">
        <v>48</v>
      </c>
      <c r="E15" s="15" t="s">
        <v>49</v>
      </c>
      <c r="F15" s="15" t="s">
        <v>50</v>
      </c>
      <c r="G15" s="15" t="s">
        <v>51</v>
      </c>
      <c r="H15" s="16" t="s">
        <v>52</v>
      </c>
      <c r="I15" s="16" t="s">
        <v>53</v>
      </c>
      <c r="J15" s="15" t="s">
        <v>54</v>
      </c>
      <c r="K15" s="15" t="s">
        <v>55</v>
      </c>
      <c r="T15" s="15" t="s">
        <v>56</v>
      </c>
      <c r="U15" s="15" t="s">
        <v>57</v>
      </c>
      <c r="Y15" s="15" t="s">
        <v>58</v>
      </c>
      <c r="Z15" s="17">
        <v>40848</v>
      </c>
      <c r="AA15" s="15" t="s">
        <v>303</v>
      </c>
      <c r="AB15" s="15" t="s">
        <v>304</v>
      </c>
      <c r="AC15" s="15" t="s">
        <v>305</v>
      </c>
    </row>
    <row r="16" spans="1:29" ht="15.75" customHeight="1" x14ac:dyDescent="0.25">
      <c r="B16" s="15">
        <v>100177257</v>
      </c>
      <c r="C16" s="15" t="s">
        <v>79</v>
      </c>
      <c r="D16" s="15" t="s">
        <v>60</v>
      </c>
      <c r="E16" s="15" t="s">
        <v>61</v>
      </c>
      <c r="F16" s="15" t="s">
        <v>62</v>
      </c>
      <c r="G16" s="15" t="s">
        <v>80</v>
      </c>
      <c r="H16" s="16" t="s">
        <v>81</v>
      </c>
      <c r="I16" s="16" t="s">
        <v>82</v>
      </c>
      <c r="J16" s="15" t="s">
        <v>54</v>
      </c>
      <c r="K16" s="15" t="s">
        <v>75</v>
      </c>
      <c r="L16" s="15" t="s">
        <v>34</v>
      </c>
      <c r="M16" s="15" t="s">
        <v>67</v>
      </c>
      <c r="T16" s="15" t="s">
        <v>68</v>
      </c>
      <c r="U16" s="15" t="s">
        <v>83</v>
      </c>
      <c r="V16" s="16" t="s">
        <v>70</v>
      </c>
      <c r="W16" s="16" t="s">
        <v>70</v>
      </c>
      <c r="X16" s="15" t="s">
        <v>71</v>
      </c>
      <c r="Y16" s="15" t="s">
        <v>58</v>
      </c>
      <c r="Z16" s="17">
        <v>44223</v>
      </c>
      <c r="AA16" s="15" t="s">
        <v>310</v>
      </c>
      <c r="AB16" s="15" t="s">
        <v>311</v>
      </c>
      <c r="AC16" s="15" t="s">
        <v>312</v>
      </c>
    </row>
    <row r="17" spans="2:29" ht="15.75" customHeight="1" x14ac:dyDescent="0.25">
      <c r="B17" s="15">
        <v>100658328</v>
      </c>
      <c r="C17" s="15" t="s">
        <v>72</v>
      </c>
      <c r="D17" s="15" t="s">
        <v>60</v>
      </c>
      <c r="E17" s="15" t="s">
        <v>61</v>
      </c>
      <c r="F17" s="15" t="s">
        <v>62</v>
      </c>
      <c r="G17" s="15" t="s">
        <v>63</v>
      </c>
      <c r="H17" s="16" t="s">
        <v>73</v>
      </c>
      <c r="I17" s="16" t="s">
        <v>74</v>
      </c>
      <c r="J17" s="15" t="s">
        <v>54</v>
      </c>
      <c r="K17" s="15" t="s">
        <v>75</v>
      </c>
      <c r="L17" s="15" t="s">
        <v>34</v>
      </c>
      <c r="M17" s="15" t="s">
        <v>76</v>
      </c>
      <c r="T17" s="15" t="s">
        <v>68</v>
      </c>
      <c r="U17" s="15" t="s">
        <v>77</v>
      </c>
      <c r="V17" s="16" t="s">
        <v>78</v>
      </c>
      <c r="Y17" s="15" t="s">
        <v>58</v>
      </c>
      <c r="Z17" s="17">
        <v>45713</v>
      </c>
      <c r="AA17" s="15" t="s">
        <v>306</v>
      </c>
      <c r="AB17" s="15" t="s">
        <v>307</v>
      </c>
      <c r="AC17" s="15" t="s">
        <v>309</v>
      </c>
    </row>
    <row r="18" spans="2:29" ht="15.75" customHeight="1" x14ac:dyDescent="0.25">
      <c r="B18" s="15">
        <v>100658330</v>
      </c>
      <c r="C18" s="15" t="s">
        <v>59</v>
      </c>
      <c r="D18" s="15" t="s">
        <v>60</v>
      </c>
      <c r="E18" s="15" t="s">
        <v>61</v>
      </c>
      <c r="F18" s="15" t="s">
        <v>62</v>
      </c>
      <c r="G18" s="15" t="s">
        <v>63</v>
      </c>
      <c r="H18" s="16" t="s">
        <v>64</v>
      </c>
      <c r="I18" s="16" t="s">
        <v>65</v>
      </c>
      <c r="J18" s="15" t="s">
        <v>54</v>
      </c>
      <c r="K18" s="15" t="s">
        <v>66</v>
      </c>
      <c r="L18" s="15" t="s">
        <v>34</v>
      </c>
      <c r="M18" s="15" t="s">
        <v>67</v>
      </c>
      <c r="T18" s="15" t="s">
        <v>68</v>
      </c>
      <c r="U18" s="15" t="s">
        <v>69</v>
      </c>
      <c r="V18" s="16" t="s">
        <v>70</v>
      </c>
      <c r="W18" s="16" t="s">
        <v>70</v>
      </c>
      <c r="X18" s="15" t="s">
        <v>71</v>
      </c>
      <c r="Y18" s="15" t="s">
        <v>58</v>
      </c>
      <c r="Z18" s="17">
        <v>45713</v>
      </c>
      <c r="AA18" s="15" t="s">
        <v>306</v>
      </c>
      <c r="AB18" s="15" t="s">
        <v>307</v>
      </c>
      <c r="AC18" s="15" t="s">
        <v>308</v>
      </c>
    </row>
    <row r="19" spans="2:29" ht="15.75" customHeight="1" x14ac:dyDescent="0.25">
      <c r="B19" s="15">
        <v>100538043</v>
      </c>
      <c r="C19" s="15" t="s">
        <v>84</v>
      </c>
      <c r="D19" s="15" t="s">
        <v>85</v>
      </c>
      <c r="E19" s="15" t="s">
        <v>86</v>
      </c>
      <c r="G19" s="15" t="s">
        <v>87</v>
      </c>
      <c r="I19" s="16" t="s">
        <v>88</v>
      </c>
      <c r="J19" s="15" t="s">
        <v>34</v>
      </c>
      <c r="K19" s="15" t="s">
        <v>89</v>
      </c>
      <c r="L19" s="15" t="s">
        <v>54</v>
      </c>
      <c r="M19" s="15" t="s">
        <v>90</v>
      </c>
      <c r="S19" s="15" t="s">
        <v>91</v>
      </c>
      <c r="T19" s="15" t="s">
        <v>92</v>
      </c>
      <c r="U19" s="15">
        <v>131576</v>
      </c>
      <c r="V19" s="16" t="s">
        <v>93</v>
      </c>
      <c r="Y19" s="15" t="s">
        <v>58</v>
      </c>
      <c r="Z19" s="17">
        <v>45505</v>
      </c>
      <c r="AA19" s="15" t="s">
        <v>313</v>
      </c>
      <c r="AB19" s="15" t="s">
        <v>314</v>
      </c>
      <c r="AC19" s="15" t="s">
        <v>315</v>
      </c>
    </row>
    <row r="20" spans="2:29" ht="15.75" customHeight="1" x14ac:dyDescent="0.25">
      <c r="B20" s="15">
        <v>100538040</v>
      </c>
      <c r="C20" s="15" t="s">
        <v>101</v>
      </c>
      <c r="D20" s="15" t="s">
        <v>85</v>
      </c>
      <c r="E20" s="15" t="s">
        <v>86</v>
      </c>
      <c r="G20" s="15" t="s">
        <v>102</v>
      </c>
      <c r="H20" s="16" t="s">
        <v>103</v>
      </c>
      <c r="I20" s="16" t="s">
        <v>104</v>
      </c>
      <c r="J20" s="15" t="s">
        <v>34</v>
      </c>
      <c r="K20" s="15" t="s">
        <v>89</v>
      </c>
      <c r="L20" s="15" t="s">
        <v>54</v>
      </c>
      <c r="M20" s="15" t="s">
        <v>105</v>
      </c>
      <c r="S20" s="15" t="s">
        <v>91</v>
      </c>
      <c r="T20" s="15" t="s">
        <v>92</v>
      </c>
      <c r="U20" s="15">
        <v>131577</v>
      </c>
      <c r="V20" s="16" t="s">
        <v>93</v>
      </c>
      <c r="Y20" s="15" t="s">
        <v>58</v>
      </c>
      <c r="Z20" s="17">
        <v>45505</v>
      </c>
      <c r="AA20" s="15" t="s">
        <v>320</v>
      </c>
      <c r="AB20" s="15" t="s">
        <v>321</v>
      </c>
      <c r="AC20" s="15" t="s">
        <v>322</v>
      </c>
    </row>
    <row r="21" spans="2:29" ht="15.75" customHeight="1" x14ac:dyDescent="0.25">
      <c r="B21" s="15">
        <v>100538036</v>
      </c>
      <c r="C21" s="15" t="s">
        <v>98</v>
      </c>
      <c r="D21" s="15" t="s">
        <v>85</v>
      </c>
      <c r="E21" s="15" t="s">
        <v>86</v>
      </c>
      <c r="I21" s="16" t="s">
        <v>99</v>
      </c>
      <c r="J21" s="15" t="s">
        <v>34</v>
      </c>
      <c r="K21" s="15" t="s">
        <v>96</v>
      </c>
      <c r="L21" s="15" t="s">
        <v>54</v>
      </c>
      <c r="M21" s="15" t="s">
        <v>100</v>
      </c>
      <c r="S21" s="15" t="s">
        <v>91</v>
      </c>
      <c r="T21" s="15" t="s">
        <v>92</v>
      </c>
      <c r="U21" s="15">
        <v>131560</v>
      </c>
      <c r="V21" s="16" t="s">
        <v>97</v>
      </c>
      <c r="Y21" s="15" t="s">
        <v>58</v>
      </c>
      <c r="Z21" s="17">
        <v>45505</v>
      </c>
      <c r="AA21" s="15" t="s">
        <v>316</v>
      </c>
      <c r="AB21" s="15" t="s">
        <v>317</v>
      </c>
      <c r="AC21" s="15" t="s">
        <v>319</v>
      </c>
    </row>
    <row r="22" spans="2:29" ht="15.75" customHeight="1" x14ac:dyDescent="0.25">
      <c r="B22" s="15">
        <v>100538042</v>
      </c>
      <c r="C22" s="15" t="s">
        <v>94</v>
      </c>
      <c r="D22" s="15" t="s">
        <v>85</v>
      </c>
      <c r="E22" s="15" t="s">
        <v>86</v>
      </c>
      <c r="I22" s="16" t="s">
        <v>95</v>
      </c>
      <c r="J22" s="15" t="s">
        <v>34</v>
      </c>
      <c r="K22" s="15" t="s">
        <v>96</v>
      </c>
      <c r="L22" s="15" t="s">
        <v>54</v>
      </c>
      <c r="M22" s="15" t="s">
        <v>90</v>
      </c>
      <c r="S22" s="15" t="s">
        <v>91</v>
      </c>
      <c r="T22" s="15" t="s">
        <v>92</v>
      </c>
      <c r="U22" s="15">
        <v>131574</v>
      </c>
      <c r="V22" s="16" t="s">
        <v>97</v>
      </c>
      <c r="Y22" s="15" t="s">
        <v>58</v>
      </c>
      <c r="Z22" s="17">
        <v>45505</v>
      </c>
      <c r="AA22" s="15" t="s">
        <v>316</v>
      </c>
      <c r="AB22" s="15" t="s">
        <v>317</v>
      </c>
      <c r="AC22" s="15" t="s">
        <v>318</v>
      </c>
    </row>
    <row r="23" spans="2:29" ht="15.75" customHeight="1" x14ac:dyDescent="0.25">
      <c r="B23" s="15">
        <v>100642342</v>
      </c>
      <c r="C23" s="15" t="s">
        <v>117</v>
      </c>
      <c r="D23" s="15" t="s">
        <v>107</v>
      </c>
      <c r="E23" s="15" t="s">
        <v>108</v>
      </c>
      <c r="F23" s="15" t="s">
        <v>109</v>
      </c>
      <c r="G23" s="15" t="s">
        <v>110</v>
      </c>
      <c r="H23" s="16" t="s">
        <v>118</v>
      </c>
      <c r="I23" s="16" t="s">
        <v>119</v>
      </c>
      <c r="J23" s="15" t="s">
        <v>113</v>
      </c>
      <c r="K23" s="15" t="s">
        <v>120</v>
      </c>
      <c r="T23" s="15" t="s">
        <v>115</v>
      </c>
      <c r="V23" s="16" t="s">
        <v>121</v>
      </c>
      <c r="Y23" s="15" t="s">
        <v>40</v>
      </c>
      <c r="Z23" s="17">
        <v>45769</v>
      </c>
      <c r="AA23" s="15" t="s">
        <v>323</v>
      </c>
      <c r="AB23" s="15" t="s">
        <v>324</v>
      </c>
      <c r="AC23" s="15" t="s">
        <v>326</v>
      </c>
    </row>
    <row r="24" spans="2:29" ht="15.75" customHeight="1" x14ac:dyDescent="0.25">
      <c r="B24" s="15">
        <v>100642343</v>
      </c>
      <c r="C24" s="15" t="s">
        <v>106</v>
      </c>
      <c r="D24" s="15" t="s">
        <v>107</v>
      </c>
      <c r="E24" s="15" t="s">
        <v>108</v>
      </c>
      <c r="F24" s="15" t="s">
        <v>109</v>
      </c>
      <c r="G24" s="15" t="s">
        <v>110</v>
      </c>
      <c r="H24" s="16" t="s">
        <v>111</v>
      </c>
      <c r="I24" s="16" t="s">
        <v>112</v>
      </c>
      <c r="J24" s="15" t="s">
        <v>113</v>
      </c>
      <c r="K24" s="15" t="s">
        <v>114</v>
      </c>
      <c r="T24" s="15" t="s">
        <v>115</v>
      </c>
      <c r="V24" s="16" t="s">
        <v>116</v>
      </c>
      <c r="Y24" s="15" t="s">
        <v>40</v>
      </c>
      <c r="Z24" s="17">
        <v>45769</v>
      </c>
      <c r="AA24" s="15" t="s">
        <v>323</v>
      </c>
      <c r="AB24" s="15" t="s">
        <v>324</v>
      </c>
      <c r="AC24" s="15" t="s">
        <v>325</v>
      </c>
    </row>
    <row r="25" spans="2:29" ht="15.75" customHeight="1" x14ac:dyDescent="0.25">
      <c r="B25" s="15">
        <v>100072864</v>
      </c>
      <c r="C25" s="15" t="s">
        <v>186</v>
      </c>
      <c r="D25" s="15" t="s">
        <v>187</v>
      </c>
      <c r="E25" s="15" t="s">
        <v>188</v>
      </c>
      <c r="F25" s="15" t="s">
        <v>189</v>
      </c>
      <c r="G25" s="15" t="s">
        <v>190</v>
      </c>
      <c r="H25" s="16" t="s">
        <v>191</v>
      </c>
      <c r="I25" s="16" t="s">
        <v>192</v>
      </c>
      <c r="J25" s="15" t="s">
        <v>34</v>
      </c>
      <c r="K25" s="15" t="s">
        <v>193</v>
      </c>
      <c r="S25" s="15" t="s">
        <v>194</v>
      </c>
      <c r="T25" s="15" t="s">
        <v>195</v>
      </c>
      <c r="U25" s="15" t="s">
        <v>196</v>
      </c>
      <c r="V25" s="16" t="s">
        <v>197</v>
      </c>
      <c r="W25" s="16" t="s">
        <v>197</v>
      </c>
      <c r="X25" s="15" t="s">
        <v>198</v>
      </c>
      <c r="Y25" s="15" t="s">
        <v>199</v>
      </c>
      <c r="Z25" s="17">
        <v>42795</v>
      </c>
      <c r="AA25" s="15" t="s">
        <v>340</v>
      </c>
      <c r="AB25" s="15" t="s">
        <v>341</v>
      </c>
      <c r="AC25" s="15" t="s">
        <v>342</v>
      </c>
    </row>
    <row r="26" spans="2:29" ht="15.75" customHeight="1" x14ac:dyDescent="0.25">
      <c r="B26" s="15">
        <v>100072872</v>
      </c>
      <c r="C26" s="15" t="s">
        <v>200</v>
      </c>
      <c r="D26" s="15" t="s">
        <v>201</v>
      </c>
      <c r="E26" s="15" t="s">
        <v>188</v>
      </c>
      <c r="F26" s="15" t="s">
        <v>189</v>
      </c>
      <c r="G26" s="15" t="s">
        <v>202</v>
      </c>
      <c r="H26" s="16" t="s">
        <v>203</v>
      </c>
      <c r="I26" s="16" t="s">
        <v>204</v>
      </c>
      <c r="J26" s="15" t="s">
        <v>34</v>
      </c>
      <c r="K26" s="15" t="s">
        <v>205</v>
      </c>
      <c r="S26" s="15" t="s">
        <v>194</v>
      </c>
      <c r="T26" s="15" t="s">
        <v>206</v>
      </c>
      <c r="U26" s="15" t="s">
        <v>207</v>
      </c>
      <c r="V26" s="16" t="s">
        <v>208</v>
      </c>
      <c r="W26" s="16" t="s">
        <v>208</v>
      </c>
      <c r="X26" s="15" t="s">
        <v>209</v>
      </c>
      <c r="Y26" s="15" t="s">
        <v>199</v>
      </c>
      <c r="Z26" s="17">
        <v>42795</v>
      </c>
      <c r="AA26" s="15" t="s">
        <v>343</v>
      </c>
      <c r="AB26" s="15" t="s">
        <v>344</v>
      </c>
      <c r="AC26" s="15" t="s">
        <v>345</v>
      </c>
    </row>
    <row r="27" spans="2:29" ht="15.75" customHeight="1" x14ac:dyDescent="0.25">
      <c r="B27" s="15">
        <v>100168671</v>
      </c>
      <c r="C27" s="15" t="s">
        <v>122</v>
      </c>
      <c r="D27" s="15" t="s">
        <v>123</v>
      </c>
      <c r="E27" s="15" t="s">
        <v>86</v>
      </c>
      <c r="F27" s="15" t="s">
        <v>124</v>
      </c>
      <c r="G27" s="15" t="s">
        <v>125</v>
      </c>
      <c r="H27" s="16" t="s">
        <v>126</v>
      </c>
      <c r="I27" s="16" t="s">
        <v>127</v>
      </c>
      <c r="J27" s="15" t="s">
        <v>54</v>
      </c>
      <c r="K27" s="15" t="s">
        <v>128</v>
      </c>
      <c r="L27" s="15" t="s">
        <v>34</v>
      </c>
      <c r="M27" s="15" t="s">
        <v>129</v>
      </c>
      <c r="T27" s="15" t="s">
        <v>130</v>
      </c>
      <c r="U27" s="15" t="s">
        <v>131</v>
      </c>
      <c r="V27" s="16" t="s">
        <v>132</v>
      </c>
      <c r="W27" s="16" t="s">
        <v>133</v>
      </c>
      <c r="X27" s="15" t="s">
        <v>134</v>
      </c>
      <c r="Y27" s="15" t="s">
        <v>58</v>
      </c>
      <c r="Z27" s="17">
        <v>44075</v>
      </c>
      <c r="AA27" s="15" t="s">
        <v>327</v>
      </c>
      <c r="AB27" s="15" t="s">
        <v>328</v>
      </c>
      <c r="AC27" s="15" t="s">
        <v>329</v>
      </c>
    </row>
    <row r="28" spans="2:29" ht="15.75" customHeight="1" x14ac:dyDescent="0.25">
      <c r="B28" s="15">
        <v>100145046</v>
      </c>
      <c r="C28" s="15" t="s">
        <v>135</v>
      </c>
      <c r="D28" s="15" t="s">
        <v>136</v>
      </c>
      <c r="E28" s="15" t="s">
        <v>137</v>
      </c>
      <c r="F28" s="15" t="s">
        <v>138</v>
      </c>
      <c r="G28" s="15" t="s">
        <v>139</v>
      </c>
      <c r="H28" s="16" t="s">
        <v>140</v>
      </c>
      <c r="I28" s="16" t="s">
        <v>141</v>
      </c>
      <c r="J28" s="15" t="s">
        <v>34</v>
      </c>
      <c r="K28" s="15" t="s">
        <v>142</v>
      </c>
      <c r="L28" s="15" t="s">
        <v>143</v>
      </c>
      <c r="M28" s="15" t="s">
        <v>120</v>
      </c>
      <c r="S28" s="15" t="s">
        <v>144</v>
      </c>
      <c r="T28" s="15" t="s">
        <v>145</v>
      </c>
      <c r="U28" s="15" t="s">
        <v>135</v>
      </c>
      <c r="V28" s="16" t="s">
        <v>146</v>
      </c>
      <c r="W28" s="16" t="s">
        <v>146</v>
      </c>
      <c r="X28" s="15" t="s">
        <v>147</v>
      </c>
      <c r="Y28" s="15" t="s">
        <v>148</v>
      </c>
      <c r="Z28" s="17">
        <v>43891</v>
      </c>
      <c r="AA28" s="15" t="s">
        <v>330</v>
      </c>
      <c r="AB28" s="15" t="s">
        <v>331</v>
      </c>
      <c r="AC28" s="15" t="s">
        <v>332</v>
      </c>
    </row>
    <row r="29" spans="2:29" ht="15.75" customHeight="1" x14ac:dyDescent="0.25">
      <c r="B29" s="15">
        <v>100181152</v>
      </c>
      <c r="C29" s="15" t="s">
        <v>149</v>
      </c>
      <c r="D29" s="15" t="s">
        <v>136</v>
      </c>
      <c r="E29" s="15" t="s">
        <v>137</v>
      </c>
      <c r="F29" s="15" t="s">
        <v>138</v>
      </c>
      <c r="G29" s="15" t="s">
        <v>139</v>
      </c>
      <c r="H29" s="16" t="s">
        <v>150</v>
      </c>
      <c r="I29" s="16" t="s">
        <v>151</v>
      </c>
      <c r="J29" s="15" t="s">
        <v>34</v>
      </c>
      <c r="K29" s="15" t="s">
        <v>152</v>
      </c>
      <c r="L29" s="15" t="s">
        <v>143</v>
      </c>
      <c r="M29" s="15" t="s">
        <v>120</v>
      </c>
      <c r="S29" s="15" t="s">
        <v>144</v>
      </c>
      <c r="T29" s="15" t="s">
        <v>145</v>
      </c>
      <c r="U29" s="15" t="s">
        <v>149</v>
      </c>
      <c r="V29" s="16" t="s">
        <v>153</v>
      </c>
      <c r="W29" s="16" t="s">
        <v>153</v>
      </c>
      <c r="X29" s="15" t="s">
        <v>154</v>
      </c>
      <c r="Y29" s="15" t="s">
        <v>148</v>
      </c>
      <c r="Z29" s="17">
        <v>44131</v>
      </c>
      <c r="AA29" s="15" t="s">
        <v>330</v>
      </c>
      <c r="AB29" s="15" t="s">
        <v>331</v>
      </c>
      <c r="AC29" s="15" t="s">
        <v>333</v>
      </c>
    </row>
    <row r="30" spans="2:29" ht="15.75" customHeight="1" x14ac:dyDescent="0.25">
      <c r="B30" s="15">
        <v>100608411</v>
      </c>
      <c r="C30" s="15" t="s">
        <v>168</v>
      </c>
      <c r="D30" s="15" t="s">
        <v>156</v>
      </c>
      <c r="E30" s="15" t="s">
        <v>157</v>
      </c>
      <c r="F30" s="15" t="s">
        <v>158</v>
      </c>
      <c r="G30" s="15" t="s">
        <v>159</v>
      </c>
      <c r="H30" s="16" t="s">
        <v>169</v>
      </c>
      <c r="I30" s="16" t="s">
        <v>170</v>
      </c>
      <c r="J30" s="15" t="s">
        <v>34</v>
      </c>
      <c r="K30" s="15" t="s">
        <v>171</v>
      </c>
      <c r="S30" s="15" t="s">
        <v>163</v>
      </c>
      <c r="T30" s="15" t="s">
        <v>164</v>
      </c>
      <c r="U30" s="15" t="s">
        <v>172</v>
      </c>
      <c r="V30" s="16" t="s">
        <v>173</v>
      </c>
      <c r="Y30" s="15" t="s">
        <v>167</v>
      </c>
      <c r="Z30" s="17">
        <v>45768</v>
      </c>
      <c r="AA30" s="15" t="s">
        <v>334</v>
      </c>
      <c r="AB30" s="15" t="s">
        <v>335</v>
      </c>
      <c r="AC30" s="15" t="s">
        <v>337</v>
      </c>
    </row>
    <row r="31" spans="2:29" ht="15.75" customHeight="1" x14ac:dyDescent="0.25">
      <c r="B31" s="15">
        <v>100608414</v>
      </c>
      <c r="C31" s="15" t="s">
        <v>155</v>
      </c>
      <c r="D31" s="15" t="s">
        <v>156</v>
      </c>
      <c r="E31" s="15" t="s">
        <v>157</v>
      </c>
      <c r="F31" s="15" t="s">
        <v>158</v>
      </c>
      <c r="G31" s="15" t="s">
        <v>159</v>
      </c>
      <c r="H31" s="16" t="s">
        <v>160</v>
      </c>
      <c r="I31" s="16" t="s">
        <v>161</v>
      </c>
      <c r="J31" s="15" t="s">
        <v>34</v>
      </c>
      <c r="K31" s="15" t="s">
        <v>162</v>
      </c>
      <c r="S31" s="15" t="s">
        <v>163</v>
      </c>
      <c r="T31" s="15" t="s">
        <v>164</v>
      </c>
      <c r="U31" s="15" t="s">
        <v>165</v>
      </c>
      <c r="V31" s="16" t="s">
        <v>166</v>
      </c>
      <c r="Y31" s="15" t="s">
        <v>167</v>
      </c>
      <c r="Z31" s="17">
        <v>45768</v>
      </c>
      <c r="AA31" s="15" t="s">
        <v>334</v>
      </c>
      <c r="AB31" s="15" t="s">
        <v>335</v>
      </c>
      <c r="AC31" s="15" t="s">
        <v>336</v>
      </c>
    </row>
    <row r="32" spans="2:29" ht="15" x14ac:dyDescent="0.25">
      <c r="B32" s="15">
        <v>100608415</v>
      </c>
      <c r="C32" s="15" t="s">
        <v>174</v>
      </c>
      <c r="D32" s="15" t="s">
        <v>156</v>
      </c>
      <c r="E32" s="15" t="s">
        <v>157</v>
      </c>
      <c r="F32" s="15" t="s">
        <v>158</v>
      </c>
      <c r="G32" s="15" t="s">
        <v>159</v>
      </c>
      <c r="H32" s="16" t="s">
        <v>175</v>
      </c>
      <c r="I32" s="16" t="s">
        <v>176</v>
      </c>
      <c r="J32" s="15" t="s">
        <v>34</v>
      </c>
      <c r="K32" s="15" t="s">
        <v>177</v>
      </c>
      <c r="S32" s="15" t="s">
        <v>163</v>
      </c>
      <c r="T32" s="15" t="s">
        <v>164</v>
      </c>
      <c r="U32" s="15" t="s">
        <v>178</v>
      </c>
      <c r="V32" s="16" t="s">
        <v>179</v>
      </c>
      <c r="Y32" s="15" t="s">
        <v>167</v>
      </c>
      <c r="Z32" s="17">
        <v>45768</v>
      </c>
      <c r="AA32" s="15" t="s">
        <v>334</v>
      </c>
      <c r="AB32" s="15" t="s">
        <v>335</v>
      </c>
      <c r="AC32" s="15" t="s">
        <v>338</v>
      </c>
    </row>
    <row r="33" spans="2:29" ht="15" x14ac:dyDescent="0.25">
      <c r="B33" s="15">
        <v>100608512</v>
      </c>
      <c r="C33" s="15" t="s">
        <v>180</v>
      </c>
      <c r="D33" s="15" t="s">
        <v>156</v>
      </c>
      <c r="E33" s="15" t="s">
        <v>157</v>
      </c>
      <c r="F33" s="15" t="s">
        <v>158</v>
      </c>
      <c r="G33" s="15" t="s">
        <v>159</v>
      </c>
      <c r="H33" s="16" t="s">
        <v>181</v>
      </c>
      <c r="I33" s="16" t="s">
        <v>182</v>
      </c>
      <c r="J33" s="15" t="s">
        <v>34</v>
      </c>
      <c r="K33" s="15" t="s">
        <v>183</v>
      </c>
      <c r="S33" s="15" t="s">
        <v>163</v>
      </c>
      <c r="T33" s="15" t="s">
        <v>164</v>
      </c>
      <c r="U33" s="15" t="s">
        <v>184</v>
      </c>
      <c r="V33" s="16" t="s">
        <v>185</v>
      </c>
      <c r="Y33" s="15" t="s">
        <v>167</v>
      </c>
      <c r="Z33" s="17">
        <v>45768</v>
      </c>
      <c r="AA33" s="15" t="s">
        <v>334</v>
      </c>
      <c r="AB33" s="15" t="s">
        <v>335</v>
      </c>
      <c r="AC33" s="15" t="s">
        <v>339</v>
      </c>
    </row>
    <row r="34" spans="2:29" ht="12.75" x14ac:dyDescent="0.2"/>
    <row r="35" spans="2:29" ht="12.75" x14ac:dyDescent="0.2"/>
    <row r="36" spans="2:29" ht="12.75" x14ac:dyDescent="0.2"/>
    <row r="37" spans="2:29" ht="12.75" x14ac:dyDescent="0.2"/>
    <row r="38" spans="2:29" ht="12.75" x14ac:dyDescent="0.2"/>
    <row r="39" spans="2:29" ht="12.75" x14ac:dyDescent="0.2"/>
    <row r="40" spans="2:29" ht="12.75" x14ac:dyDescent="0.2"/>
    <row r="41" spans="2:29" ht="12.75" x14ac:dyDescent="0.2"/>
    <row r="42" spans="2:29" ht="12.75" x14ac:dyDescent="0.2"/>
    <row r="43" spans="2:29" ht="12.75" x14ac:dyDescent="0.2"/>
    <row r="44" spans="2:29" ht="12.75" x14ac:dyDescent="0.2"/>
    <row r="45" spans="2:29" ht="12.75" x14ac:dyDescent="0.2"/>
    <row r="46" spans="2:29" ht="12.75" x14ac:dyDescent="0.2"/>
    <row r="47" spans="2:29" ht="12.75" x14ac:dyDescent="0.2"/>
    <row r="48" spans="2:29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autoFilter ref="AA1:AA1000" xr:uid="{00000000-0001-0000-0400-000000000000}">
    <sortState xmlns:xlrd2="http://schemas.microsoft.com/office/spreadsheetml/2017/richdata2" ref="A2:AC1000">
      <sortCondition ref="AA1:AA1000"/>
    </sortState>
  </autoFilter>
  <sortState xmlns:xlrd2="http://schemas.microsoft.com/office/spreadsheetml/2017/richdata2" ref="A2:AC1000">
    <sortCondition ref="B1:B1000"/>
  </sortState>
  <hyperlinks>
    <hyperlink ref="H3" r:id="rId1" xr:uid="{00000000-0004-0000-0400-000000000000}"/>
    <hyperlink ref="I3" r:id="rId2" xr:uid="{00000000-0004-0000-0400-000001000000}"/>
    <hyperlink ref="V3" r:id="rId3" xr:uid="{00000000-0004-0000-0400-000002000000}"/>
    <hyperlink ref="H2" r:id="rId4" xr:uid="{00000000-0004-0000-0400-000003000000}"/>
    <hyperlink ref="I2" r:id="rId5" xr:uid="{00000000-0004-0000-0400-000004000000}"/>
    <hyperlink ref="V2" r:id="rId6" xr:uid="{00000000-0004-0000-0400-000005000000}"/>
    <hyperlink ref="H15" r:id="rId7" xr:uid="{00000000-0004-0000-0400-000006000000}"/>
    <hyperlink ref="I15" r:id="rId8" xr:uid="{00000000-0004-0000-0400-000007000000}"/>
    <hyperlink ref="H18" r:id="rId9" xr:uid="{00000000-0004-0000-0400-000008000000}"/>
    <hyperlink ref="I18" r:id="rId10" xr:uid="{00000000-0004-0000-0400-000009000000}"/>
    <hyperlink ref="V18" r:id="rId11" xr:uid="{00000000-0004-0000-0400-00000A000000}"/>
    <hyperlink ref="W18" r:id="rId12" xr:uid="{00000000-0004-0000-0400-00000B000000}"/>
    <hyperlink ref="H17" r:id="rId13" xr:uid="{00000000-0004-0000-0400-00000C000000}"/>
    <hyperlink ref="I17" r:id="rId14" xr:uid="{00000000-0004-0000-0400-00000D000000}"/>
    <hyperlink ref="V17" r:id="rId15" xr:uid="{00000000-0004-0000-0400-00000E000000}"/>
    <hyperlink ref="H16" r:id="rId16" xr:uid="{00000000-0004-0000-0400-00000F000000}"/>
    <hyperlink ref="I16" r:id="rId17" xr:uid="{00000000-0004-0000-0400-000010000000}"/>
    <hyperlink ref="V16" r:id="rId18" xr:uid="{00000000-0004-0000-0400-000011000000}"/>
    <hyperlink ref="W16" r:id="rId19" xr:uid="{00000000-0004-0000-0400-000012000000}"/>
    <hyperlink ref="I19" r:id="rId20" xr:uid="{00000000-0004-0000-0400-000013000000}"/>
    <hyperlink ref="V19" r:id="rId21" xr:uid="{00000000-0004-0000-0400-000014000000}"/>
    <hyperlink ref="I22" r:id="rId22" xr:uid="{00000000-0004-0000-0400-000015000000}"/>
    <hyperlink ref="V22" r:id="rId23" xr:uid="{00000000-0004-0000-0400-000016000000}"/>
    <hyperlink ref="I21" r:id="rId24" xr:uid="{00000000-0004-0000-0400-000017000000}"/>
    <hyperlink ref="V21" r:id="rId25" xr:uid="{00000000-0004-0000-0400-000018000000}"/>
    <hyperlink ref="H20" r:id="rId26" xr:uid="{00000000-0004-0000-0400-000019000000}"/>
    <hyperlink ref="I20" r:id="rId27" xr:uid="{00000000-0004-0000-0400-00001A000000}"/>
    <hyperlink ref="V20" r:id="rId28" xr:uid="{00000000-0004-0000-0400-00001B000000}"/>
    <hyperlink ref="H24" r:id="rId29" xr:uid="{00000000-0004-0000-0400-00001C000000}"/>
    <hyperlink ref="I24" r:id="rId30" xr:uid="{00000000-0004-0000-0400-00001D000000}"/>
    <hyperlink ref="V24" r:id="rId31" xr:uid="{00000000-0004-0000-0400-00001E000000}"/>
    <hyperlink ref="H23" r:id="rId32" xr:uid="{00000000-0004-0000-0400-00001F000000}"/>
    <hyperlink ref="I23" r:id="rId33" xr:uid="{00000000-0004-0000-0400-000020000000}"/>
    <hyperlink ref="V23" r:id="rId34" xr:uid="{00000000-0004-0000-0400-000021000000}"/>
    <hyperlink ref="H27" r:id="rId35" xr:uid="{00000000-0004-0000-0400-000022000000}"/>
    <hyperlink ref="I27" r:id="rId36" xr:uid="{00000000-0004-0000-0400-000023000000}"/>
    <hyperlink ref="V27" r:id="rId37" xr:uid="{00000000-0004-0000-0400-000024000000}"/>
    <hyperlink ref="W27" r:id="rId38" xr:uid="{00000000-0004-0000-0400-000025000000}"/>
    <hyperlink ref="H28" r:id="rId39" xr:uid="{00000000-0004-0000-0400-000026000000}"/>
    <hyperlink ref="I28" r:id="rId40" xr:uid="{00000000-0004-0000-0400-000027000000}"/>
    <hyperlink ref="V28" r:id="rId41" xr:uid="{00000000-0004-0000-0400-000028000000}"/>
    <hyperlink ref="W28" r:id="rId42" xr:uid="{00000000-0004-0000-0400-000029000000}"/>
    <hyperlink ref="H29" r:id="rId43" xr:uid="{00000000-0004-0000-0400-00002A000000}"/>
    <hyperlink ref="I29" r:id="rId44" xr:uid="{00000000-0004-0000-0400-00002B000000}"/>
    <hyperlink ref="V29" r:id="rId45" xr:uid="{00000000-0004-0000-0400-00002C000000}"/>
    <hyperlink ref="W29" r:id="rId46" xr:uid="{00000000-0004-0000-0400-00002D000000}"/>
    <hyperlink ref="H31" r:id="rId47" xr:uid="{00000000-0004-0000-0400-00002E000000}"/>
    <hyperlink ref="I31" r:id="rId48" xr:uid="{00000000-0004-0000-0400-00002F000000}"/>
    <hyperlink ref="V31" r:id="rId49" xr:uid="{00000000-0004-0000-0400-000030000000}"/>
    <hyperlink ref="H30" r:id="rId50" xr:uid="{00000000-0004-0000-0400-000031000000}"/>
    <hyperlink ref="I30" r:id="rId51" xr:uid="{00000000-0004-0000-0400-000032000000}"/>
    <hyperlink ref="V30" r:id="rId52" xr:uid="{00000000-0004-0000-0400-000033000000}"/>
    <hyperlink ref="H32" r:id="rId53" xr:uid="{00000000-0004-0000-0400-000034000000}"/>
    <hyperlink ref="I32" r:id="rId54" xr:uid="{00000000-0004-0000-0400-000035000000}"/>
    <hyperlink ref="V32" r:id="rId55" xr:uid="{00000000-0004-0000-0400-000036000000}"/>
    <hyperlink ref="H33" r:id="rId56" xr:uid="{00000000-0004-0000-0400-000037000000}"/>
    <hyperlink ref="I33" r:id="rId57" xr:uid="{00000000-0004-0000-0400-000038000000}"/>
    <hyperlink ref="V33" r:id="rId58" xr:uid="{00000000-0004-0000-0400-000039000000}"/>
    <hyperlink ref="H25" r:id="rId59" xr:uid="{00000000-0004-0000-0400-00003A000000}"/>
    <hyperlink ref="I25" r:id="rId60" xr:uid="{00000000-0004-0000-0400-00003B000000}"/>
    <hyperlink ref="V25" r:id="rId61" xr:uid="{00000000-0004-0000-0400-00003C000000}"/>
    <hyperlink ref="W25" r:id="rId62" xr:uid="{00000000-0004-0000-0400-00003D000000}"/>
    <hyperlink ref="H26" r:id="rId63" xr:uid="{00000000-0004-0000-0400-00003E000000}"/>
    <hyperlink ref="I26" r:id="rId64" xr:uid="{00000000-0004-0000-0400-00003F000000}"/>
    <hyperlink ref="V26" r:id="rId65" xr:uid="{00000000-0004-0000-0400-000040000000}"/>
    <hyperlink ref="W26" r:id="rId66" xr:uid="{00000000-0004-0000-0400-000041000000}"/>
    <hyperlink ref="H7" r:id="rId67" xr:uid="{00000000-0004-0000-0400-000042000000}"/>
    <hyperlink ref="I7" r:id="rId68" xr:uid="{00000000-0004-0000-0400-000043000000}"/>
    <hyperlink ref="V7" r:id="rId69" xr:uid="{00000000-0004-0000-0400-000044000000}"/>
    <hyperlink ref="W7" r:id="rId70" xr:uid="{00000000-0004-0000-0400-000045000000}"/>
    <hyperlink ref="H8" r:id="rId71" xr:uid="{00000000-0004-0000-0400-000046000000}"/>
    <hyperlink ref="I8" r:id="rId72" xr:uid="{00000000-0004-0000-0400-000047000000}"/>
    <hyperlink ref="V8" r:id="rId73" xr:uid="{00000000-0004-0000-0400-000048000000}"/>
    <hyperlink ref="W8" r:id="rId74" xr:uid="{00000000-0004-0000-0400-000049000000}"/>
    <hyperlink ref="H10" r:id="rId75" xr:uid="{00000000-0004-0000-0400-00004A000000}"/>
    <hyperlink ref="I10" r:id="rId76" xr:uid="{00000000-0004-0000-0400-00004B000000}"/>
    <hyperlink ref="V10" r:id="rId77" xr:uid="{00000000-0004-0000-0400-00004C000000}"/>
    <hyperlink ref="W10" r:id="rId78" xr:uid="{00000000-0004-0000-0400-00004D000000}"/>
    <hyperlink ref="H9" r:id="rId79" xr:uid="{00000000-0004-0000-0400-00004E000000}"/>
    <hyperlink ref="I9" r:id="rId80" xr:uid="{00000000-0004-0000-0400-00004F000000}"/>
    <hyperlink ref="V9" r:id="rId81" xr:uid="{00000000-0004-0000-0400-000050000000}"/>
    <hyperlink ref="W9" r:id="rId82" xr:uid="{00000000-0004-0000-0400-000051000000}"/>
    <hyperlink ref="H11" r:id="rId83" xr:uid="{00000000-0004-0000-0400-000052000000}"/>
    <hyperlink ref="I11" r:id="rId84" xr:uid="{00000000-0004-0000-0400-000053000000}"/>
    <hyperlink ref="V11" r:id="rId85" xr:uid="{00000000-0004-0000-0400-000054000000}"/>
    <hyperlink ref="W11" r:id="rId86" xr:uid="{00000000-0004-0000-0400-000055000000}"/>
    <hyperlink ref="H12" r:id="rId87" xr:uid="{00000000-0004-0000-0400-000056000000}"/>
    <hyperlink ref="I12" r:id="rId88" xr:uid="{00000000-0004-0000-0400-000057000000}"/>
    <hyperlink ref="V12" r:id="rId89" xr:uid="{00000000-0004-0000-0400-000058000000}"/>
    <hyperlink ref="W12" r:id="rId90" xr:uid="{00000000-0004-0000-0400-000059000000}"/>
    <hyperlink ref="H14" r:id="rId91" xr:uid="{00000000-0004-0000-0400-00005A000000}"/>
    <hyperlink ref="I14" r:id="rId92" xr:uid="{00000000-0004-0000-0400-00005B000000}"/>
    <hyperlink ref="V14" r:id="rId93" xr:uid="{00000000-0004-0000-0400-00005C000000}"/>
    <hyperlink ref="W14" r:id="rId94" xr:uid="{00000000-0004-0000-0400-00005D000000}"/>
    <hyperlink ref="H13" r:id="rId95" xr:uid="{00000000-0004-0000-0400-00005E000000}"/>
    <hyperlink ref="I13" r:id="rId96" xr:uid="{00000000-0004-0000-0400-00005F000000}"/>
    <hyperlink ref="V13" r:id="rId97" xr:uid="{00000000-0004-0000-0400-000060000000}"/>
    <hyperlink ref="W13" r:id="rId98" xr:uid="{00000000-0004-0000-0400-000061000000}"/>
    <hyperlink ref="H4" r:id="rId99" xr:uid="{00000000-0004-0000-0400-000062000000}"/>
    <hyperlink ref="I4" r:id="rId100" xr:uid="{00000000-0004-0000-0400-000063000000}"/>
    <hyperlink ref="H5" r:id="rId101" xr:uid="{00000000-0004-0000-0400-000064000000}"/>
    <hyperlink ref="I5" r:id="rId102" xr:uid="{00000000-0004-0000-0400-000065000000}"/>
    <hyperlink ref="H6" r:id="rId103" xr:uid="{00000000-0004-0000-0400-000066000000}"/>
    <hyperlink ref="I6" r:id="rId104" xr:uid="{00000000-0004-0000-0400-000067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tabSelected="1" workbookViewId="0"/>
  </sheetViews>
  <sheetFormatPr defaultColWidth="12.5703125" defaultRowHeight="15.75" customHeight="1" x14ac:dyDescent="0.2"/>
  <cols>
    <col min="1" max="1" width="48.85546875" customWidth="1"/>
    <col min="2" max="26" width="7.5703125" customWidth="1"/>
  </cols>
  <sheetData>
    <row r="1" spans="1:2" x14ac:dyDescent="0.2">
      <c r="A1" s="14" t="s">
        <v>365</v>
      </c>
      <c r="B1" s="14" t="s">
        <v>366</v>
      </c>
    </row>
    <row r="2" spans="1:2" x14ac:dyDescent="0.2">
      <c r="A2" s="15" t="s">
        <v>367</v>
      </c>
      <c r="B2" s="15">
        <v>32</v>
      </c>
    </row>
    <row r="3" spans="1:2" x14ac:dyDescent="0.2">
      <c r="A3" s="15" t="s">
        <v>368</v>
      </c>
      <c r="B3" s="15">
        <v>18</v>
      </c>
    </row>
    <row r="4" spans="1:2" x14ac:dyDescent="0.2">
      <c r="A4" s="15" t="s">
        <v>369</v>
      </c>
      <c r="B4" s="15">
        <v>15</v>
      </c>
    </row>
    <row r="5" spans="1:2" x14ac:dyDescent="0.2">
      <c r="A5" s="15" t="s">
        <v>370</v>
      </c>
      <c r="B5" s="15">
        <v>34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2.5703125" defaultRowHeight="15.75" customHeight="1" x14ac:dyDescent="0.2"/>
  <cols>
    <col min="1" max="1" width="7.5703125" customWidth="1"/>
    <col min="2" max="2" width="79.42578125" customWidth="1"/>
    <col min="3" max="4" width="31.140625" customWidth="1"/>
    <col min="5" max="5" width="145.5703125" customWidth="1"/>
    <col min="6" max="6" width="26" customWidth="1"/>
    <col min="7" max="7" width="15.28515625" customWidth="1"/>
    <col min="8" max="26" width="7.5703125" customWidth="1"/>
  </cols>
  <sheetData>
    <row r="1" spans="1:8" x14ac:dyDescent="0.2">
      <c r="A1" s="14" t="s">
        <v>297</v>
      </c>
      <c r="B1" s="14" t="s">
        <v>296</v>
      </c>
      <c r="C1" s="14" t="s">
        <v>296</v>
      </c>
      <c r="D1" s="14" t="s">
        <v>371</v>
      </c>
      <c r="E1" s="14" t="s">
        <v>372</v>
      </c>
      <c r="F1" s="14" t="s">
        <v>373</v>
      </c>
      <c r="G1" s="14" t="s">
        <v>374</v>
      </c>
      <c r="H1" s="14" t="s">
        <v>375</v>
      </c>
    </row>
    <row r="2" spans="1:8" x14ac:dyDescent="0.2">
      <c r="A2" s="15" t="s">
        <v>300</v>
      </c>
      <c r="B2" s="15" t="s">
        <v>299</v>
      </c>
      <c r="C2" s="15" t="s">
        <v>27</v>
      </c>
      <c r="D2" s="15">
        <v>2</v>
      </c>
      <c r="E2" s="15" t="s">
        <v>376</v>
      </c>
      <c r="F2" s="15" t="s">
        <v>37</v>
      </c>
      <c r="G2" s="15" t="s">
        <v>40</v>
      </c>
      <c r="H2" s="15" t="s">
        <v>377</v>
      </c>
    </row>
    <row r="3" spans="1:8" x14ac:dyDescent="0.2">
      <c r="A3" s="15" t="s">
        <v>304</v>
      </c>
      <c r="B3" s="15" t="s">
        <v>303</v>
      </c>
      <c r="C3" s="15" t="s">
        <v>48</v>
      </c>
      <c r="D3" s="15">
        <v>1</v>
      </c>
      <c r="E3" s="15" t="s">
        <v>47</v>
      </c>
      <c r="F3" s="15" t="s">
        <v>56</v>
      </c>
      <c r="G3" s="15" t="s">
        <v>58</v>
      </c>
      <c r="H3" s="15" t="s">
        <v>378</v>
      </c>
    </row>
    <row r="4" spans="1:8" x14ac:dyDescent="0.2">
      <c r="A4" s="15" t="s">
        <v>307</v>
      </c>
      <c r="B4" s="15" t="s">
        <v>306</v>
      </c>
      <c r="C4" s="15" t="s">
        <v>60</v>
      </c>
      <c r="D4" s="15">
        <v>2</v>
      </c>
      <c r="E4" s="15" t="s">
        <v>379</v>
      </c>
      <c r="F4" s="15" t="s">
        <v>68</v>
      </c>
      <c r="G4" s="15" t="s">
        <v>58</v>
      </c>
      <c r="H4" s="15" t="s">
        <v>377</v>
      </c>
    </row>
    <row r="5" spans="1:8" x14ac:dyDescent="0.2">
      <c r="A5" s="15" t="s">
        <v>311</v>
      </c>
      <c r="B5" s="15" t="s">
        <v>310</v>
      </c>
      <c r="C5" s="15" t="s">
        <v>60</v>
      </c>
      <c r="D5" s="15">
        <v>1</v>
      </c>
      <c r="E5" s="15" t="s">
        <v>79</v>
      </c>
      <c r="F5" s="15" t="s">
        <v>68</v>
      </c>
      <c r="G5" s="15" t="s">
        <v>58</v>
      </c>
      <c r="H5" s="15" t="s">
        <v>378</v>
      </c>
    </row>
    <row r="6" spans="1:8" x14ac:dyDescent="0.2">
      <c r="A6" s="15" t="s">
        <v>314</v>
      </c>
      <c r="B6" s="15" t="s">
        <v>313</v>
      </c>
      <c r="C6" s="15" t="s">
        <v>85</v>
      </c>
      <c r="D6" s="15">
        <v>1</v>
      </c>
      <c r="E6" s="15" t="s">
        <v>84</v>
      </c>
      <c r="F6" s="15" t="s">
        <v>92</v>
      </c>
      <c r="G6" s="15" t="s">
        <v>58</v>
      </c>
      <c r="H6" s="15" t="s">
        <v>378</v>
      </c>
    </row>
    <row r="7" spans="1:8" x14ac:dyDescent="0.2">
      <c r="A7" s="15" t="s">
        <v>317</v>
      </c>
      <c r="B7" s="15" t="s">
        <v>316</v>
      </c>
      <c r="C7" s="15" t="s">
        <v>85</v>
      </c>
      <c r="D7" s="15">
        <v>2</v>
      </c>
      <c r="E7" s="15" t="s">
        <v>380</v>
      </c>
      <c r="F7" s="15" t="s">
        <v>92</v>
      </c>
      <c r="G7" s="15" t="s">
        <v>58</v>
      </c>
      <c r="H7" s="15" t="s">
        <v>377</v>
      </c>
    </row>
    <row r="8" spans="1:8" x14ac:dyDescent="0.2">
      <c r="A8" s="15" t="s">
        <v>321</v>
      </c>
      <c r="B8" s="15" t="s">
        <v>320</v>
      </c>
      <c r="C8" s="15" t="s">
        <v>85</v>
      </c>
      <c r="D8" s="15">
        <v>1</v>
      </c>
      <c r="E8" s="15" t="s">
        <v>101</v>
      </c>
      <c r="F8" s="15" t="s">
        <v>92</v>
      </c>
      <c r="G8" s="15" t="s">
        <v>58</v>
      </c>
      <c r="H8" s="15" t="s">
        <v>378</v>
      </c>
    </row>
    <row r="9" spans="1:8" x14ac:dyDescent="0.2">
      <c r="A9" s="15" t="s">
        <v>324</v>
      </c>
      <c r="B9" s="15" t="s">
        <v>323</v>
      </c>
      <c r="C9" s="15" t="s">
        <v>107</v>
      </c>
      <c r="D9" s="15">
        <v>2</v>
      </c>
      <c r="E9" s="15" t="s">
        <v>381</v>
      </c>
      <c r="F9" s="15" t="s">
        <v>115</v>
      </c>
      <c r="G9" s="15" t="s">
        <v>40</v>
      </c>
      <c r="H9" s="15" t="s">
        <v>377</v>
      </c>
    </row>
    <row r="10" spans="1:8" x14ac:dyDescent="0.2">
      <c r="A10" s="15" t="s">
        <v>328</v>
      </c>
      <c r="B10" s="15" t="s">
        <v>327</v>
      </c>
      <c r="C10" s="15" t="s">
        <v>123</v>
      </c>
      <c r="D10" s="15">
        <v>1</v>
      </c>
      <c r="E10" s="15" t="s">
        <v>122</v>
      </c>
      <c r="F10" s="15" t="s">
        <v>130</v>
      </c>
      <c r="G10" s="15" t="s">
        <v>58</v>
      </c>
      <c r="H10" s="15" t="s">
        <v>378</v>
      </c>
    </row>
    <row r="11" spans="1:8" x14ac:dyDescent="0.2">
      <c r="A11" s="15" t="s">
        <v>331</v>
      </c>
      <c r="B11" s="15" t="s">
        <v>330</v>
      </c>
      <c r="C11" s="15" t="s">
        <v>136</v>
      </c>
      <c r="D11" s="15">
        <v>2</v>
      </c>
      <c r="E11" s="15" t="s">
        <v>382</v>
      </c>
      <c r="F11" s="15" t="s">
        <v>145</v>
      </c>
      <c r="G11" s="15" t="s">
        <v>148</v>
      </c>
      <c r="H11" s="15" t="s">
        <v>377</v>
      </c>
    </row>
    <row r="12" spans="1:8" x14ac:dyDescent="0.2">
      <c r="A12" s="15" t="s">
        <v>335</v>
      </c>
      <c r="B12" s="15" t="s">
        <v>334</v>
      </c>
      <c r="C12" s="15" t="s">
        <v>156</v>
      </c>
      <c r="D12" s="15">
        <v>4</v>
      </c>
      <c r="E12" s="15" t="s">
        <v>383</v>
      </c>
      <c r="F12" s="15" t="s">
        <v>164</v>
      </c>
      <c r="G12" s="15" t="s">
        <v>167</v>
      </c>
      <c r="H12" s="15" t="s">
        <v>377</v>
      </c>
    </row>
    <row r="13" spans="1:8" x14ac:dyDescent="0.2">
      <c r="A13" s="15" t="s">
        <v>341</v>
      </c>
      <c r="B13" s="15" t="s">
        <v>340</v>
      </c>
      <c r="C13" s="15" t="s">
        <v>187</v>
      </c>
      <c r="D13" s="15">
        <v>1</v>
      </c>
      <c r="E13" s="15" t="s">
        <v>186</v>
      </c>
      <c r="F13" s="15" t="s">
        <v>195</v>
      </c>
      <c r="G13" s="15" t="s">
        <v>199</v>
      </c>
      <c r="H13" s="15" t="s">
        <v>378</v>
      </c>
    </row>
    <row r="14" spans="1:8" x14ac:dyDescent="0.2">
      <c r="A14" s="15" t="s">
        <v>344</v>
      </c>
      <c r="B14" s="15" t="s">
        <v>343</v>
      </c>
      <c r="C14" s="15" t="s">
        <v>201</v>
      </c>
      <c r="D14" s="15">
        <v>1</v>
      </c>
      <c r="E14" s="15" t="s">
        <v>200</v>
      </c>
      <c r="F14" s="15" t="s">
        <v>206</v>
      </c>
      <c r="G14" s="15" t="s">
        <v>199</v>
      </c>
      <c r="H14" s="15" t="s">
        <v>378</v>
      </c>
    </row>
    <row r="15" spans="1:8" x14ac:dyDescent="0.2">
      <c r="A15" s="15" t="s">
        <v>347</v>
      </c>
      <c r="B15" s="15" t="s">
        <v>346</v>
      </c>
      <c r="C15" s="15" t="s">
        <v>211</v>
      </c>
      <c r="D15" s="15">
        <v>4</v>
      </c>
      <c r="E15" s="15" t="s">
        <v>384</v>
      </c>
      <c r="F15" s="15" t="s">
        <v>221</v>
      </c>
      <c r="G15" s="15" t="s">
        <v>148</v>
      </c>
      <c r="H15" s="15" t="s">
        <v>377</v>
      </c>
    </row>
    <row r="16" spans="1:8" x14ac:dyDescent="0.2">
      <c r="A16" s="15" t="s">
        <v>353</v>
      </c>
      <c r="B16" s="15" t="s">
        <v>352</v>
      </c>
      <c r="C16" s="15" t="s">
        <v>248</v>
      </c>
      <c r="D16" s="15">
        <v>4</v>
      </c>
      <c r="E16" s="15" t="s">
        <v>385</v>
      </c>
      <c r="F16" s="15" t="s">
        <v>253</v>
      </c>
      <c r="G16" s="15" t="s">
        <v>148</v>
      </c>
      <c r="H16" s="15" t="s">
        <v>377</v>
      </c>
    </row>
    <row r="17" spans="1:8" x14ac:dyDescent="0.2">
      <c r="A17" s="15" t="s">
        <v>359</v>
      </c>
      <c r="B17" s="15" t="s">
        <v>358</v>
      </c>
      <c r="C17" s="15" t="s">
        <v>274</v>
      </c>
      <c r="D17" s="15">
        <v>1</v>
      </c>
      <c r="E17" s="15" t="s">
        <v>273</v>
      </c>
      <c r="F17" s="15" t="s">
        <v>283</v>
      </c>
      <c r="G17" s="15" t="s">
        <v>148</v>
      </c>
      <c r="H17" s="15" t="s">
        <v>378</v>
      </c>
    </row>
    <row r="18" spans="1:8" x14ac:dyDescent="0.2">
      <c r="A18" s="15" t="s">
        <v>362</v>
      </c>
      <c r="B18" s="15" t="s">
        <v>361</v>
      </c>
      <c r="C18" s="15" t="s">
        <v>361</v>
      </c>
      <c r="D18" s="15" t="s">
        <v>361</v>
      </c>
      <c r="E18" s="15" t="s">
        <v>285</v>
      </c>
      <c r="F18" s="15" t="s">
        <v>221</v>
      </c>
      <c r="G18" s="15" t="s">
        <v>148</v>
      </c>
      <c r="H18" s="15" t="s">
        <v>378</v>
      </c>
    </row>
    <row r="19" spans="1:8" x14ac:dyDescent="0.2">
      <c r="A19" s="15" t="s">
        <v>364</v>
      </c>
      <c r="B19" s="15" t="s">
        <v>363</v>
      </c>
      <c r="C19" s="15" t="s">
        <v>292</v>
      </c>
      <c r="D19" s="15">
        <v>1</v>
      </c>
      <c r="E19" s="15" t="s">
        <v>291</v>
      </c>
      <c r="F19" s="15" t="s">
        <v>283</v>
      </c>
      <c r="G19" s="15" t="s">
        <v>148</v>
      </c>
      <c r="H19" s="15" t="s">
        <v>378</v>
      </c>
    </row>
    <row r="21" spans="1:8" x14ac:dyDescent="0.2"/>
    <row r="22" spans="1:8" x14ac:dyDescent="0.2"/>
    <row r="23" spans="1:8" x14ac:dyDescent="0.2"/>
    <row r="24" spans="1:8" x14ac:dyDescent="0.2"/>
    <row r="25" spans="1:8" x14ac:dyDescent="0.2"/>
    <row r="26" spans="1:8" x14ac:dyDescent="0.2"/>
    <row r="27" spans="1:8" x14ac:dyDescent="0.2"/>
    <row r="28" spans="1:8" x14ac:dyDescent="0.2"/>
    <row r="29" spans="1:8" x14ac:dyDescent="0.2"/>
    <row r="30" spans="1:8" x14ac:dyDescent="0.2"/>
    <row r="31" spans="1:8" x14ac:dyDescent="0.2"/>
    <row r="32" spans="1:8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2.5703125" defaultRowHeight="15.75" customHeight="1" x14ac:dyDescent="0.2"/>
  <cols>
    <col min="1" max="1" width="28" customWidth="1"/>
    <col min="2" max="26" width="7.5703125" customWidth="1"/>
  </cols>
  <sheetData>
    <row r="1" spans="1:1" x14ac:dyDescent="0.2">
      <c r="A1" s="14" t="s">
        <v>386</v>
      </c>
    </row>
    <row r="2" spans="1:1" x14ac:dyDescent="0.2">
      <c r="A2" s="15" t="s">
        <v>90</v>
      </c>
    </row>
    <row r="3" spans="1:1" x14ac:dyDescent="0.2">
      <c r="A3" s="15" t="s">
        <v>100</v>
      </c>
    </row>
    <row r="4" spans="1:1" x14ac:dyDescent="0.2">
      <c r="A4" s="15" t="s">
        <v>105</v>
      </c>
    </row>
    <row r="5" spans="1:1" x14ac:dyDescent="0.2">
      <c r="A5" s="15" t="s">
        <v>55</v>
      </c>
    </row>
    <row r="6" spans="1:1" x14ac:dyDescent="0.2">
      <c r="A6" s="15" t="s">
        <v>252</v>
      </c>
    </row>
    <row r="7" spans="1:1" x14ac:dyDescent="0.2">
      <c r="A7" s="15" t="s">
        <v>218</v>
      </c>
    </row>
    <row r="8" spans="1:1" x14ac:dyDescent="0.2">
      <c r="A8" s="15" t="s">
        <v>193</v>
      </c>
    </row>
    <row r="9" spans="1:1" x14ac:dyDescent="0.2">
      <c r="A9" s="15" t="s">
        <v>35</v>
      </c>
    </row>
    <row r="10" spans="1:1" x14ac:dyDescent="0.2">
      <c r="A10" s="15" t="s">
        <v>237</v>
      </c>
    </row>
    <row r="11" spans="1:1" x14ac:dyDescent="0.2">
      <c r="A11" s="15" t="s">
        <v>44</v>
      </c>
    </row>
    <row r="12" spans="1:1" x14ac:dyDescent="0.2">
      <c r="A12" s="15" t="s">
        <v>76</v>
      </c>
    </row>
    <row r="13" spans="1:1" x14ac:dyDescent="0.2">
      <c r="A13" s="15" t="s">
        <v>142</v>
      </c>
    </row>
    <row r="14" spans="1:1" x14ac:dyDescent="0.2">
      <c r="A14" s="15" t="s">
        <v>236</v>
      </c>
    </row>
    <row r="15" spans="1:1" x14ac:dyDescent="0.2">
      <c r="A15" s="15" t="s">
        <v>66</v>
      </c>
    </row>
    <row r="16" spans="1:1" x14ac:dyDescent="0.2">
      <c r="A16" s="15" t="s">
        <v>129</v>
      </c>
    </row>
    <row r="17" spans="1:1" x14ac:dyDescent="0.2">
      <c r="A17" s="15" t="s">
        <v>89</v>
      </c>
    </row>
    <row r="18" spans="1:1" x14ac:dyDescent="0.2">
      <c r="A18" s="15" t="s">
        <v>152</v>
      </c>
    </row>
    <row r="19" spans="1:1" x14ac:dyDescent="0.2">
      <c r="A19" s="15" t="s">
        <v>162</v>
      </c>
    </row>
    <row r="20" spans="1:1" x14ac:dyDescent="0.2">
      <c r="A20" s="15" t="s">
        <v>114</v>
      </c>
    </row>
    <row r="21" spans="1:1" x14ac:dyDescent="0.2">
      <c r="A21" s="15" t="s">
        <v>263</v>
      </c>
    </row>
    <row r="22" spans="1:1" x14ac:dyDescent="0.2">
      <c r="A22" s="15" t="s">
        <v>280</v>
      </c>
    </row>
    <row r="23" spans="1:1" x14ac:dyDescent="0.2">
      <c r="A23" s="15" t="s">
        <v>128</v>
      </c>
    </row>
    <row r="24" spans="1:1" x14ac:dyDescent="0.2">
      <c r="A24" s="15" t="s">
        <v>219</v>
      </c>
    </row>
    <row r="25" spans="1:1" x14ac:dyDescent="0.2">
      <c r="A25" s="15" t="s">
        <v>96</v>
      </c>
    </row>
    <row r="26" spans="1:1" x14ac:dyDescent="0.2">
      <c r="A26" s="15" t="s">
        <v>67</v>
      </c>
    </row>
    <row r="27" spans="1:1" x14ac:dyDescent="0.2">
      <c r="A27" s="15" t="s">
        <v>33</v>
      </c>
    </row>
    <row r="28" spans="1:1" x14ac:dyDescent="0.2">
      <c r="A28" s="15" t="s">
        <v>171</v>
      </c>
    </row>
    <row r="29" spans="1:1" x14ac:dyDescent="0.2">
      <c r="A29" s="15" t="s">
        <v>75</v>
      </c>
    </row>
    <row r="30" spans="1:1" x14ac:dyDescent="0.2">
      <c r="A30" s="15" t="s">
        <v>177</v>
      </c>
    </row>
    <row r="31" spans="1:1" x14ac:dyDescent="0.2">
      <c r="A31" s="15" t="s">
        <v>183</v>
      </c>
    </row>
    <row r="32" spans="1:1" x14ac:dyDescent="0.2">
      <c r="A32" s="15" t="s">
        <v>262</v>
      </c>
    </row>
    <row r="33" spans="1:1" x14ac:dyDescent="0.2">
      <c r="A33" s="15" t="s">
        <v>281</v>
      </c>
    </row>
    <row r="34" spans="1:1" x14ac:dyDescent="0.2">
      <c r="A34" s="15" t="s">
        <v>120</v>
      </c>
    </row>
    <row r="35" spans="1:1" x14ac:dyDescent="0.2">
      <c r="A35" s="15" t="s">
        <v>205</v>
      </c>
    </row>
    <row r="36" spans="1:1" x14ac:dyDescent="0.2"/>
    <row r="37" spans="1:1" x14ac:dyDescent="0.2"/>
    <row r="38" spans="1:1" x14ac:dyDescent="0.2"/>
    <row r="39" spans="1:1" x14ac:dyDescent="0.2"/>
    <row r="40" spans="1:1" x14ac:dyDescent="0.2"/>
    <row r="41" spans="1:1" x14ac:dyDescent="0.2"/>
    <row r="42" spans="1:1" x14ac:dyDescent="0.2"/>
    <row r="43" spans="1:1" x14ac:dyDescent="0.2"/>
    <row r="44" spans="1:1" x14ac:dyDescent="0.2"/>
    <row r="45" spans="1:1" x14ac:dyDescent="0.2"/>
    <row r="46" spans="1:1" x14ac:dyDescent="0.2"/>
    <row r="47" spans="1:1" x14ac:dyDescent="0.2"/>
    <row r="48" spans="1:1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/>
  </sheetViews>
  <sheetFormatPr defaultColWidth="12.5703125" defaultRowHeight="15.75" customHeight="1" x14ac:dyDescent="0.2"/>
  <cols>
    <col min="1" max="1" width="12.42578125" customWidth="1"/>
    <col min="2" max="2" width="15.7109375" customWidth="1"/>
    <col min="3" max="3" width="18.85546875" customWidth="1"/>
    <col min="4" max="4" width="14.42578125" customWidth="1"/>
    <col min="5" max="5" width="18.7109375" customWidth="1"/>
    <col min="6" max="6" width="14.7109375" customWidth="1"/>
    <col min="7" max="7" width="21.42578125" customWidth="1"/>
    <col min="8" max="8" width="20.140625" customWidth="1"/>
    <col min="9" max="9" width="17" customWidth="1"/>
    <col min="10" max="26" width="7.5703125" customWidth="1"/>
  </cols>
  <sheetData>
    <row r="1" spans="1:15" x14ac:dyDescent="0.2">
      <c r="A1" s="14" t="s">
        <v>297</v>
      </c>
      <c r="B1" s="14" t="s">
        <v>296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298</v>
      </c>
      <c r="J1" s="14" t="s">
        <v>19</v>
      </c>
      <c r="K1" s="14" t="s">
        <v>24</v>
      </c>
      <c r="L1" s="14" t="s">
        <v>7</v>
      </c>
      <c r="M1" s="14" t="s">
        <v>8</v>
      </c>
      <c r="N1" s="14" t="s">
        <v>20</v>
      </c>
      <c r="O1" s="14" t="s">
        <v>387</v>
      </c>
    </row>
    <row r="2" spans="1:15" ht="15.75" customHeight="1" x14ac:dyDescent="0.25">
      <c r="A2" s="15" t="s">
        <v>300</v>
      </c>
      <c r="B2" s="15" t="s">
        <v>299</v>
      </c>
      <c r="C2" s="15">
        <v>100596554</v>
      </c>
      <c r="D2" s="15" t="s">
        <v>41</v>
      </c>
      <c r="E2" s="15" t="s">
        <v>27</v>
      </c>
      <c r="F2" s="15" t="s">
        <v>28</v>
      </c>
      <c r="G2" s="15" t="s">
        <v>28</v>
      </c>
      <c r="H2" s="15" t="s">
        <v>29</v>
      </c>
      <c r="I2" s="15" t="s">
        <v>302</v>
      </c>
      <c r="J2" s="15" t="s">
        <v>37</v>
      </c>
      <c r="K2" s="15" t="s">
        <v>40</v>
      </c>
      <c r="L2" s="16" t="s">
        <v>42</v>
      </c>
      <c r="M2" s="16" t="s">
        <v>43</v>
      </c>
      <c r="N2" s="15" t="s">
        <v>45</v>
      </c>
      <c r="O2" s="15" t="s">
        <v>388</v>
      </c>
    </row>
    <row r="3" spans="1:15" ht="15.75" customHeight="1" x14ac:dyDescent="0.25">
      <c r="A3" s="15" t="s">
        <v>300</v>
      </c>
      <c r="B3" s="15" t="s">
        <v>299</v>
      </c>
      <c r="C3" s="15">
        <v>100596557</v>
      </c>
      <c r="D3" s="15" t="s">
        <v>26</v>
      </c>
      <c r="E3" s="15" t="s">
        <v>27</v>
      </c>
      <c r="F3" s="15" t="s">
        <v>28</v>
      </c>
      <c r="G3" s="15" t="s">
        <v>28</v>
      </c>
      <c r="H3" s="15" t="s">
        <v>29</v>
      </c>
      <c r="I3" s="15" t="s">
        <v>301</v>
      </c>
      <c r="J3" s="15" t="s">
        <v>37</v>
      </c>
      <c r="K3" s="15" t="s">
        <v>40</v>
      </c>
      <c r="L3" s="16" t="s">
        <v>30</v>
      </c>
      <c r="M3" s="16" t="s">
        <v>31</v>
      </c>
      <c r="N3" s="15" t="s">
        <v>38</v>
      </c>
      <c r="O3" s="15" t="s">
        <v>388</v>
      </c>
    </row>
    <row r="4" spans="1:15" ht="15.75" customHeight="1" x14ac:dyDescent="0.25">
      <c r="A4" s="15" t="s">
        <v>304</v>
      </c>
      <c r="B4" s="15" t="s">
        <v>303</v>
      </c>
      <c r="C4" s="15">
        <v>655422</v>
      </c>
      <c r="D4" s="15" t="s">
        <v>47</v>
      </c>
      <c r="E4" s="15" t="s">
        <v>48</v>
      </c>
      <c r="F4" s="15" t="s">
        <v>49</v>
      </c>
      <c r="G4" s="15" t="s">
        <v>50</v>
      </c>
      <c r="H4" s="15" t="s">
        <v>51</v>
      </c>
      <c r="I4" s="15" t="s">
        <v>305</v>
      </c>
      <c r="J4" s="15" t="s">
        <v>56</v>
      </c>
      <c r="K4" s="15" t="s">
        <v>58</v>
      </c>
      <c r="L4" s="16" t="s">
        <v>52</v>
      </c>
      <c r="M4" s="16" t="s">
        <v>53</v>
      </c>
      <c r="N4" s="15" t="s">
        <v>57</v>
      </c>
      <c r="O4" s="15" t="s">
        <v>389</v>
      </c>
    </row>
    <row r="5" spans="1:15" ht="15.75" customHeight="1" x14ac:dyDescent="0.25">
      <c r="A5" s="15" t="s">
        <v>307</v>
      </c>
      <c r="B5" s="15" t="s">
        <v>306</v>
      </c>
      <c r="C5" s="15">
        <v>100658328</v>
      </c>
      <c r="D5" s="15" t="s">
        <v>72</v>
      </c>
      <c r="E5" s="15" t="s">
        <v>60</v>
      </c>
      <c r="F5" s="15" t="s">
        <v>61</v>
      </c>
      <c r="G5" s="15" t="s">
        <v>62</v>
      </c>
      <c r="H5" s="15" t="s">
        <v>63</v>
      </c>
      <c r="I5" s="15" t="s">
        <v>309</v>
      </c>
      <c r="J5" s="15" t="s">
        <v>68</v>
      </c>
      <c r="K5" s="15" t="s">
        <v>58</v>
      </c>
      <c r="L5" s="16" t="s">
        <v>73</v>
      </c>
      <c r="M5" s="16" t="s">
        <v>74</v>
      </c>
      <c r="N5" s="15" t="s">
        <v>77</v>
      </c>
      <c r="O5" s="15" t="s">
        <v>390</v>
      </c>
    </row>
    <row r="6" spans="1:15" ht="15.75" customHeight="1" x14ac:dyDescent="0.25">
      <c r="A6" s="15" t="s">
        <v>307</v>
      </c>
      <c r="B6" s="15" t="s">
        <v>306</v>
      </c>
      <c r="C6" s="15">
        <v>100658330</v>
      </c>
      <c r="D6" s="15" t="s">
        <v>59</v>
      </c>
      <c r="E6" s="15" t="s">
        <v>60</v>
      </c>
      <c r="F6" s="15" t="s">
        <v>61</v>
      </c>
      <c r="G6" s="15" t="s">
        <v>62</v>
      </c>
      <c r="H6" s="15" t="s">
        <v>63</v>
      </c>
      <c r="I6" s="15" t="s">
        <v>308</v>
      </c>
      <c r="J6" s="15" t="s">
        <v>68</v>
      </c>
      <c r="K6" s="15" t="s">
        <v>58</v>
      </c>
      <c r="L6" s="16" t="s">
        <v>64</v>
      </c>
      <c r="M6" s="16" t="s">
        <v>65</v>
      </c>
      <c r="N6" s="15" t="s">
        <v>69</v>
      </c>
      <c r="O6" s="15" t="s">
        <v>390</v>
      </c>
    </row>
    <row r="7" spans="1:15" ht="15.75" customHeight="1" x14ac:dyDescent="0.25">
      <c r="A7" s="15" t="s">
        <v>311</v>
      </c>
      <c r="B7" s="15" t="s">
        <v>310</v>
      </c>
      <c r="C7" s="15">
        <v>100177257</v>
      </c>
      <c r="D7" s="15" t="s">
        <v>79</v>
      </c>
      <c r="E7" s="15" t="s">
        <v>60</v>
      </c>
      <c r="F7" s="15" t="s">
        <v>61</v>
      </c>
      <c r="G7" s="15" t="s">
        <v>62</v>
      </c>
      <c r="H7" s="15" t="s">
        <v>80</v>
      </c>
      <c r="I7" s="15" t="s">
        <v>312</v>
      </c>
      <c r="J7" s="15" t="s">
        <v>68</v>
      </c>
      <c r="K7" s="15" t="s">
        <v>58</v>
      </c>
      <c r="L7" s="16" t="s">
        <v>81</v>
      </c>
      <c r="M7" s="16" t="s">
        <v>82</v>
      </c>
      <c r="N7" s="15" t="s">
        <v>83</v>
      </c>
      <c r="O7" s="15" t="s">
        <v>389</v>
      </c>
    </row>
    <row r="8" spans="1:15" ht="15.75" customHeight="1" x14ac:dyDescent="0.25">
      <c r="A8" s="15" t="s">
        <v>314</v>
      </c>
      <c r="B8" s="15" t="s">
        <v>313</v>
      </c>
      <c r="C8" s="15">
        <v>100538043</v>
      </c>
      <c r="D8" s="15" t="s">
        <v>84</v>
      </c>
      <c r="E8" s="15" t="s">
        <v>85</v>
      </c>
      <c r="F8" s="15" t="s">
        <v>86</v>
      </c>
      <c r="H8" s="15" t="s">
        <v>87</v>
      </c>
      <c r="I8" s="15" t="s">
        <v>315</v>
      </c>
      <c r="J8" s="15" t="s">
        <v>92</v>
      </c>
      <c r="K8" s="15" t="s">
        <v>58</v>
      </c>
      <c r="M8" s="16" t="s">
        <v>88</v>
      </c>
      <c r="N8" s="15">
        <v>131576</v>
      </c>
      <c r="O8" s="15" t="s">
        <v>389</v>
      </c>
    </row>
    <row r="9" spans="1:15" ht="15.75" customHeight="1" x14ac:dyDescent="0.25">
      <c r="A9" s="15" t="s">
        <v>317</v>
      </c>
      <c r="B9" s="15" t="s">
        <v>316</v>
      </c>
      <c r="C9" s="15">
        <v>100538036</v>
      </c>
      <c r="D9" s="15" t="s">
        <v>98</v>
      </c>
      <c r="E9" s="15" t="s">
        <v>85</v>
      </c>
      <c r="F9" s="15" t="s">
        <v>86</v>
      </c>
      <c r="I9" s="15" t="s">
        <v>319</v>
      </c>
      <c r="J9" s="15" t="s">
        <v>92</v>
      </c>
      <c r="K9" s="15" t="s">
        <v>58</v>
      </c>
      <c r="M9" s="16" t="s">
        <v>99</v>
      </c>
      <c r="N9" s="15">
        <v>131560</v>
      </c>
      <c r="O9" s="15" t="s">
        <v>391</v>
      </c>
    </row>
    <row r="10" spans="1:15" ht="15.75" customHeight="1" x14ac:dyDescent="0.25">
      <c r="A10" s="15" t="s">
        <v>317</v>
      </c>
      <c r="B10" s="15" t="s">
        <v>316</v>
      </c>
      <c r="C10" s="15">
        <v>100538042</v>
      </c>
      <c r="D10" s="15" t="s">
        <v>94</v>
      </c>
      <c r="E10" s="15" t="s">
        <v>85</v>
      </c>
      <c r="F10" s="15" t="s">
        <v>86</v>
      </c>
      <c r="I10" s="15" t="s">
        <v>318</v>
      </c>
      <c r="J10" s="15" t="s">
        <v>92</v>
      </c>
      <c r="K10" s="15" t="s">
        <v>58</v>
      </c>
      <c r="M10" s="16" t="s">
        <v>95</v>
      </c>
      <c r="N10" s="15">
        <v>131574</v>
      </c>
      <c r="O10" s="15" t="s">
        <v>391</v>
      </c>
    </row>
    <row r="11" spans="1:15" ht="15.75" customHeight="1" x14ac:dyDescent="0.25">
      <c r="A11" s="15" t="s">
        <v>321</v>
      </c>
      <c r="B11" s="15" t="s">
        <v>320</v>
      </c>
      <c r="C11" s="15">
        <v>100538040</v>
      </c>
      <c r="D11" s="15" t="s">
        <v>101</v>
      </c>
      <c r="E11" s="15" t="s">
        <v>85</v>
      </c>
      <c r="F11" s="15" t="s">
        <v>86</v>
      </c>
      <c r="H11" s="15" t="s">
        <v>102</v>
      </c>
      <c r="I11" s="15" t="s">
        <v>322</v>
      </c>
      <c r="J11" s="15" t="s">
        <v>92</v>
      </c>
      <c r="K11" s="15" t="s">
        <v>58</v>
      </c>
      <c r="L11" s="16" t="s">
        <v>103</v>
      </c>
      <c r="M11" s="16" t="s">
        <v>104</v>
      </c>
      <c r="N11" s="15">
        <v>131577</v>
      </c>
      <c r="O11" s="15" t="s">
        <v>389</v>
      </c>
    </row>
    <row r="12" spans="1:15" ht="15.75" customHeight="1" x14ac:dyDescent="0.25">
      <c r="A12" s="15" t="s">
        <v>324</v>
      </c>
      <c r="B12" s="15" t="s">
        <v>323</v>
      </c>
      <c r="C12" s="15">
        <v>100642342</v>
      </c>
      <c r="D12" s="15" t="s">
        <v>117</v>
      </c>
      <c r="E12" s="15" t="s">
        <v>107</v>
      </c>
      <c r="F12" s="15" t="s">
        <v>108</v>
      </c>
      <c r="G12" s="15" t="s">
        <v>109</v>
      </c>
      <c r="H12" s="15" t="s">
        <v>110</v>
      </c>
      <c r="I12" s="15" t="s">
        <v>326</v>
      </c>
      <c r="J12" s="15" t="s">
        <v>115</v>
      </c>
      <c r="K12" s="15" t="s">
        <v>40</v>
      </c>
      <c r="L12" s="16" t="s">
        <v>118</v>
      </c>
      <c r="M12" s="16" t="s">
        <v>119</v>
      </c>
      <c r="O12" s="15" t="s">
        <v>392</v>
      </c>
    </row>
    <row r="13" spans="1:15" ht="15.75" customHeight="1" x14ac:dyDescent="0.25">
      <c r="A13" s="15" t="s">
        <v>324</v>
      </c>
      <c r="B13" s="15" t="s">
        <v>323</v>
      </c>
      <c r="C13" s="15">
        <v>100642343</v>
      </c>
      <c r="D13" s="15" t="s">
        <v>106</v>
      </c>
      <c r="E13" s="15" t="s">
        <v>107</v>
      </c>
      <c r="F13" s="15" t="s">
        <v>108</v>
      </c>
      <c r="G13" s="15" t="s">
        <v>109</v>
      </c>
      <c r="H13" s="15" t="s">
        <v>110</v>
      </c>
      <c r="I13" s="15" t="s">
        <v>325</v>
      </c>
      <c r="J13" s="15" t="s">
        <v>115</v>
      </c>
      <c r="K13" s="15" t="s">
        <v>40</v>
      </c>
      <c r="L13" s="16" t="s">
        <v>111</v>
      </c>
      <c r="M13" s="16" t="s">
        <v>112</v>
      </c>
      <c r="O13" s="15" t="s">
        <v>392</v>
      </c>
    </row>
    <row r="14" spans="1:15" ht="15.75" customHeight="1" x14ac:dyDescent="0.25">
      <c r="A14" s="15" t="s">
        <v>328</v>
      </c>
      <c r="B14" s="15" t="s">
        <v>327</v>
      </c>
      <c r="C14" s="15">
        <v>100168671</v>
      </c>
      <c r="D14" s="15" t="s">
        <v>122</v>
      </c>
      <c r="E14" s="15" t="s">
        <v>123</v>
      </c>
      <c r="F14" s="15" t="s">
        <v>86</v>
      </c>
      <c r="G14" s="15" t="s">
        <v>124</v>
      </c>
      <c r="H14" s="15" t="s">
        <v>125</v>
      </c>
      <c r="I14" s="15" t="s">
        <v>329</v>
      </c>
      <c r="J14" s="15" t="s">
        <v>130</v>
      </c>
      <c r="K14" s="15" t="s">
        <v>58</v>
      </c>
      <c r="L14" s="16" t="s">
        <v>126</v>
      </c>
      <c r="M14" s="16" t="s">
        <v>127</v>
      </c>
      <c r="N14" s="15" t="s">
        <v>131</v>
      </c>
      <c r="O14" s="15" t="s">
        <v>389</v>
      </c>
    </row>
    <row r="15" spans="1:15" ht="15.75" customHeight="1" x14ac:dyDescent="0.25">
      <c r="A15" s="15" t="s">
        <v>331</v>
      </c>
      <c r="B15" s="15" t="s">
        <v>330</v>
      </c>
      <c r="C15" s="15">
        <v>100145046</v>
      </c>
      <c r="D15" s="15" t="s">
        <v>135</v>
      </c>
      <c r="E15" s="15" t="s">
        <v>136</v>
      </c>
      <c r="F15" s="15" t="s">
        <v>137</v>
      </c>
      <c r="G15" s="15" t="s">
        <v>138</v>
      </c>
      <c r="H15" s="15" t="s">
        <v>139</v>
      </c>
      <c r="I15" s="15" t="s">
        <v>332</v>
      </c>
      <c r="J15" s="15" t="s">
        <v>145</v>
      </c>
      <c r="K15" s="15" t="s">
        <v>148</v>
      </c>
      <c r="L15" s="16" t="s">
        <v>140</v>
      </c>
      <c r="M15" s="16" t="s">
        <v>141</v>
      </c>
      <c r="N15" s="15" t="s">
        <v>135</v>
      </c>
      <c r="O15" s="15" t="s">
        <v>393</v>
      </c>
    </row>
    <row r="16" spans="1:15" ht="15.75" customHeight="1" x14ac:dyDescent="0.25">
      <c r="A16" s="15" t="s">
        <v>331</v>
      </c>
      <c r="B16" s="15" t="s">
        <v>330</v>
      </c>
      <c r="C16" s="15">
        <v>100181152</v>
      </c>
      <c r="D16" s="15" t="s">
        <v>149</v>
      </c>
      <c r="E16" s="15" t="s">
        <v>136</v>
      </c>
      <c r="F16" s="15" t="s">
        <v>137</v>
      </c>
      <c r="G16" s="15" t="s">
        <v>138</v>
      </c>
      <c r="H16" s="15" t="s">
        <v>139</v>
      </c>
      <c r="I16" s="15" t="s">
        <v>333</v>
      </c>
      <c r="J16" s="15" t="s">
        <v>145</v>
      </c>
      <c r="K16" s="15" t="s">
        <v>148</v>
      </c>
      <c r="L16" s="16" t="s">
        <v>150</v>
      </c>
      <c r="M16" s="16" t="s">
        <v>151</v>
      </c>
      <c r="N16" s="15" t="s">
        <v>149</v>
      </c>
      <c r="O16" s="15" t="s">
        <v>393</v>
      </c>
    </row>
    <row r="17" spans="1:15" ht="15.75" customHeight="1" x14ac:dyDescent="0.25">
      <c r="A17" s="15" t="s">
        <v>335</v>
      </c>
      <c r="B17" s="15" t="s">
        <v>334</v>
      </c>
      <c r="C17" s="15">
        <v>100608411</v>
      </c>
      <c r="D17" s="15" t="s">
        <v>168</v>
      </c>
      <c r="E17" s="15" t="s">
        <v>156</v>
      </c>
      <c r="F17" s="15" t="s">
        <v>157</v>
      </c>
      <c r="G17" s="15" t="s">
        <v>158</v>
      </c>
      <c r="H17" s="15" t="s">
        <v>159</v>
      </c>
      <c r="I17" s="15" t="s">
        <v>337</v>
      </c>
      <c r="J17" s="15" t="s">
        <v>164</v>
      </c>
      <c r="K17" s="15" t="s">
        <v>167</v>
      </c>
      <c r="L17" s="16" t="s">
        <v>169</v>
      </c>
      <c r="M17" s="16" t="s">
        <v>170</v>
      </c>
      <c r="N17" s="15" t="s">
        <v>172</v>
      </c>
      <c r="O17" s="15" t="s">
        <v>394</v>
      </c>
    </row>
    <row r="18" spans="1:15" ht="15.75" customHeight="1" x14ac:dyDescent="0.25">
      <c r="A18" s="15" t="s">
        <v>335</v>
      </c>
      <c r="B18" s="15" t="s">
        <v>334</v>
      </c>
      <c r="C18" s="15">
        <v>100608414</v>
      </c>
      <c r="D18" s="15" t="s">
        <v>155</v>
      </c>
      <c r="E18" s="15" t="s">
        <v>156</v>
      </c>
      <c r="F18" s="15" t="s">
        <v>157</v>
      </c>
      <c r="G18" s="15" t="s">
        <v>158</v>
      </c>
      <c r="H18" s="15" t="s">
        <v>159</v>
      </c>
      <c r="I18" s="15" t="s">
        <v>336</v>
      </c>
      <c r="J18" s="15" t="s">
        <v>164</v>
      </c>
      <c r="K18" s="15" t="s">
        <v>167</v>
      </c>
      <c r="L18" s="16" t="s">
        <v>160</v>
      </c>
      <c r="M18" s="16" t="s">
        <v>161</v>
      </c>
      <c r="N18" s="15" t="s">
        <v>165</v>
      </c>
      <c r="O18" s="15" t="s">
        <v>394</v>
      </c>
    </row>
    <row r="19" spans="1:15" ht="15.75" customHeight="1" x14ac:dyDescent="0.25">
      <c r="A19" s="15" t="s">
        <v>335</v>
      </c>
      <c r="B19" s="15" t="s">
        <v>334</v>
      </c>
      <c r="C19" s="15">
        <v>100608415</v>
      </c>
      <c r="D19" s="15" t="s">
        <v>174</v>
      </c>
      <c r="E19" s="15" t="s">
        <v>156</v>
      </c>
      <c r="F19" s="15" t="s">
        <v>157</v>
      </c>
      <c r="G19" s="15" t="s">
        <v>158</v>
      </c>
      <c r="H19" s="15" t="s">
        <v>159</v>
      </c>
      <c r="I19" s="15" t="s">
        <v>338</v>
      </c>
      <c r="J19" s="15" t="s">
        <v>164</v>
      </c>
      <c r="K19" s="15" t="s">
        <v>167</v>
      </c>
      <c r="L19" s="16" t="s">
        <v>175</v>
      </c>
      <c r="M19" s="16" t="s">
        <v>176</v>
      </c>
      <c r="N19" s="15" t="s">
        <v>178</v>
      </c>
      <c r="O19" s="15" t="s">
        <v>394</v>
      </c>
    </row>
    <row r="20" spans="1:15" ht="15.75" customHeight="1" x14ac:dyDescent="0.25">
      <c r="A20" s="15" t="s">
        <v>335</v>
      </c>
      <c r="B20" s="15" t="s">
        <v>334</v>
      </c>
      <c r="C20" s="15">
        <v>100608512</v>
      </c>
      <c r="D20" s="15" t="s">
        <v>180</v>
      </c>
      <c r="E20" s="15" t="s">
        <v>156</v>
      </c>
      <c r="F20" s="15" t="s">
        <v>157</v>
      </c>
      <c r="G20" s="15" t="s">
        <v>158</v>
      </c>
      <c r="H20" s="15" t="s">
        <v>159</v>
      </c>
      <c r="I20" s="15" t="s">
        <v>339</v>
      </c>
      <c r="J20" s="15" t="s">
        <v>164</v>
      </c>
      <c r="K20" s="15" t="s">
        <v>167</v>
      </c>
      <c r="L20" s="16" t="s">
        <v>181</v>
      </c>
      <c r="M20" s="16" t="s">
        <v>182</v>
      </c>
      <c r="N20" s="15" t="s">
        <v>184</v>
      </c>
      <c r="O20" s="15" t="s">
        <v>394</v>
      </c>
    </row>
    <row r="21" spans="1:15" ht="15.75" customHeight="1" x14ac:dyDescent="0.25">
      <c r="A21" s="15" t="s">
        <v>341</v>
      </c>
      <c r="B21" s="15" t="s">
        <v>340</v>
      </c>
      <c r="C21" s="15">
        <v>100072864</v>
      </c>
      <c r="D21" s="15" t="s">
        <v>186</v>
      </c>
      <c r="E21" s="15" t="s">
        <v>187</v>
      </c>
      <c r="F21" s="15" t="s">
        <v>188</v>
      </c>
      <c r="G21" s="15" t="s">
        <v>189</v>
      </c>
      <c r="H21" s="15" t="s">
        <v>190</v>
      </c>
      <c r="I21" s="15" t="s">
        <v>342</v>
      </c>
      <c r="J21" s="15" t="s">
        <v>195</v>
      </c>
      <c r="K21" s="15" t="s">
        <v>199</v>
      </c>
      <c r="L21" s="16" t="s">
        <v>191</v>
      </c>
      <c r="M21" s="16" t="s">
        <v>192</v>
      </c>
      <c r="N21" s="15" t="s">
        <v>196</v>
      </c>
      <c r="O21" s="15" t="s">
        <v>389</v>
      </c>
    </row>
    <row r="22" spans="1:15" ht="15.75" customHeight="1" x14ac:dyDescent="0.25">
      <c r="A22" s="15" t="s">
        <v>344</v>
      </c>
      <c r="B22" s="15" t="s">
        <v>343</v>
      </c>
      <c r="C22" s="15">
        <v>100072872</v>
      </c>
      <c r="D22" s="15" t="s">
        <v>200</v>
      </c>
      <c r="E22" s="15" t="s">
        <v>201</v>
      </c>
      <c r="F22" s="15" t="s">
        <v>188</v>
      </c>
      <c r="G22" s="15" t="s">
        <v>189</v>
      </c>
      <c r="H22" s="15" t="s">
        <v>202</v>
      </c>
      <c r="I22" s="15" t="s">
        <v>345</v>
      </c>
      <c r="J22" s="15" t="s">
        <v>206</v>
      </c>
      <c r="K22" s="15" t="s">
        <v>199</v>
      </c>
      <c r="L22" s="16" t="s">
        <v>203</v>
      </c>
      <c r="M22" s="16" t="s">
        <v>204</v>
      </c>
      <c r="N22" s="15" t="s">
        <v>207</v>
      </c>
      <c r="O22" s="15" t="s">
        <v>389</v>
      </c>
    </row>
    <row r="23" spans="1:15" ht="15.75" customHeight="1" x14ac:dyDescent="0.25">
      <c r="A23" s="15" t="s">
        <v>347</v>
      </c>
      <c r="B23" s="15" t="s">
        <v>346</v>
      </c>
      <c r="C23" s="15">
        <v>100559774</v>
      </c>
      <c r="D23" s="15" t="s">
        <v>210</v>
      </c>
      <c r="E23" s="15" t="s">
        <v>211</v>
      </c>
      <c r="F23" s="15" t="s">
        <v>212</v>
      </c>
      <c r="G23" s="15" t="s">
        <v>213</v>
      </c>
      <c r="H23" s="15" t="s">
        <v>214</v>
      </c>
      <c r="I23" s="15" t="s">
        <v>348</v>
      </c>
      <c r="J23" s="15" t="s">
        <v>221</v>
      </c>
      <c r="K23" s="15" t="s">
        <v>148</v>
      </c>
      <c r="L23" s="16" t="s">
        <v>215</v>
      </c>
      <c r="M23" s="16" t="s">
        <v>216</v>
      </c>
      <c r="N23" s="15" t="s">
        <v>222</v>
      </c>
      <c r="O23" s="15" t="s">
        <v>395</v>
      </c>
    </row>
    <row r="24" spans="1:15" ht="15.75" customHeight="1" x14ac:dyDescent="0.25">
      <c r="A24" s="15" t="s">
        <v>347</v>
      </c>
      <c r="B24" s="15" t="s">
        <v>346</v>
      </c>
      <c r="C24" s="15">
        <v>100559775</v>
      </c>
      <c r="D24" s="15" t="s">
        <v>226</v>
      </c>
      <c r="E24" s="15" t="s">
        <v>211</v>
      </c>
      <c r="F24" s="15" t="s">
        <v>212</v>
      </c>
      <c r="G24" s="15" t="s">
        <v>213</v>
      </c>
      <c r="H24" s="15" t="s">
        <v>214</v>
      </c>
      <c r="I24" s="15" t="s">
        <v>349</v>
      </c>
      <c r="J24" s="15" t="s">
        <v>221</v>
      </c>
      <c r="K24" s="15" t="s">
        <v>148</v>
      </c>
      <c r="L24" s="16" t="s">
        <v>227</v>
      </c>
      <c r="M24" s="16" t="s">
        <v>228</v>
      </c>
      <c r="N24" s="15" t="s">
        <v>229</v>
      </c>
      <c r="O24" s="15" t="s">
        <v>395</v>
      </c>
    </row>
    <row r="25" spans="1:15" ht="15.75" customHeight="1" x14ac:dyDescent="0.25">
      <c r="A25" s="15" t="s">
        <v>347</v>
      </c>
      <c r="B25" s="15" t="s">
        <v>346</v>
      </c>
      <c r="C25" s="15">
        <v>100661719</v>
      </c>
      <c r="D25" s="15" t="s">
        <v>241</v>
      </c>
      <c r="E25" s="15" t="s">
        <v>211</v>
      </c>
      <c r="F25" s="15" t="s">
        <v>212</v>
      </c>
      <c r="G25" s="15" t="s">
        <v>213</v>
      </c>
      <c r="H25" s="15" t="s">
        <v>214</v>
      </c>
      <c r="I25" s="15" t="s">
        <v>351</v>
      </c>
      <c r="J25" s="15" t="s">
        <v>221</v>
      </c>
      <c r="K25" s="15" t="s">
        <v>148</v>
      </c>
      <c r="L25" s="16" t="s">
        <v>242</v>
      </c>
      <c r="M25" s="16" t="s">
        <v>243</v>
      </c>
      <c r="N25" s="15" t="s">
        <v>241</v>
      </c>
      <c r="O25" s="15" t="s">
        <v>395</v>
      </c>
    </row>
    <row r="26" spans="1:15" ht="15.75" customHeight="1" x14ac:dyDescent="0.25">
      <c r="A26" s="15" t="s">
        <v>347</v>
      </c>
      <c r="B26" s="15" t="s">
        <v>346</v>
      </c>
      <c r="C26" s="15">
        <v>100673417</v>
      </c>
      <c r="D26" s="15" t="s">
        <v>233</v>
      </c>
      <c r="E26" s="15" t="s">
        <v>211</v>
      </c>
      <c r="F26" s="15" t="s">
        <v>212</v>
      </c>
      <c r="G26" s="15" t="s">
        <v>213</v>
      </c>
      <c r="H26" s="15" t="s">
        <v>214</v>
      </c>
      <c r="I26" s="15" t="s">
        <v>350</v>
      </c>
      <c r="J26" s="15" t="s">
        <v>221</v>
      </c>
      <c r="K26" s="15" t="s">
        <v>148</v>
      </c>
      <c r="L26" s="16" t="s">
        <v>234</v>
      </c>
      <c r="M26" s="16" t="s">
        <v>235</v>
      </c>
      <c r="N26" s="15" t="s">
        <v>233</v>
      </c>
      <c r="O26" s="15" t="s">
        <v>395</v>
      </c>
    </row>
    <row r="27" spans="1:15" ht="15.75" customHeight="1" x14ac:dyDescent="0.25">
      <c r="A27" s="15" t="s">
        <v>353</v>
      </c>
      <c r="B27" s="15" t="s">
        <v>352</v>
      </c>
      <c r="C27" s="15">
        <v>100559923</v>
      </c>
      <c r="D27" s="15" t="s">
        <v>247</v>
      </c>
      <c r="E27" s="15" t="s">
        <v>248</v>
      </c>
      <c r="F27" s="15" t="s">
        <v>212</v>
      </c>
      <c r="G27" s="15" t="s">
        <v>213</v>
      </c>
      <c r="H27" s="15" t="s">
        <v>249</v>
      </c>
      <c r="I27" s="15" t="s">
        <v>354</v>
      </c>
      <c r="J27" s="15" t="s">
        <v>253</v>
      </c>
      <c r="K27" s="15" t="s">
        <v>148</v>
      </c>
      <c r="L27" s="16" t="s">
        <v>250</v>
      </c>
      <c r="M27" s="16" t="s">
        <v>251</v>
      </c>
      <c r="N27" s="15" t="s">
        <v>254</v>
      </c>
      <c r="O27" s="15" t="s">
        <v>396</v>
      </c>
    </row>
    <row r="28" spans="1:15" ht="15.75" customHeight="1" x14ac:dyDescent="0.25">
      <c r="A28" s="15" t="s">
        <v>353</v>
      </c>
      <c r="B28" s="15" t="s">
        <v>352</v>
      </c>
      <c r="C28" s="15">
        <v>100559924</v>
      </c>
      <c r="D28" s="15" t="s">
        <v>255</v>
      </c>
      <c r="E28" s="15" t="s">
        <v>248</v>
      </c>
      <c r="F28" s="15" t="s">
        <v>212</v>
      </c>
      <c r="G28" s="15" t="s">
        <v>213</v>
      </c>
      <c r="H28" s="15" t="s">
        <v>249</v>
      </c>
      <c r="I28" s="15" t="s">
        <v>355</v>
      </c>
      <c r="J28" s="15" t="s">
        <v>253</v>
      </c>
      <c r="K28" s="15" t="s">
        <v>148</v>
      </c>
      <c r="L28" s="16" t="s">
        <v>256</v>
      </c>
      <c r="M28" s="16" t="s">
        <v>257</v>
      </c>
      <c r="N28" s="15" t="s">
        <v>258</v>
      </c>
      <c r="O28" s="15" t="s">
        <v>396</v>
      </c>
    </row>
    <row r="29" spans="1:15" ht="15.75" customHeight="1" x14ac:dyDescent="0.25">
      <c r="A29" s="15" t="s">
        <v>353</v>
      </c>
      <c r="B29" s="15" t="s">
        <v>352</v>
      </c>
      <c r="C29" s="15">
        <v>100578777</v>
      </c>
      <c r="D29" s="15" t="s">
        <v>267</v>
      </c>
      <c r="E29" s="15" t="s">
        <v>248</v>
      </c>
      <c r="F29" s="15" t="s">
        <v>212</v>
      </c>
      <c r="G29" s="15" t="s">
        <v>213</v>
      </c>
      <c r="H29" s="15" t="s">
        <v>249</v>
      </c>
      <c r="I29" s="15" t="s">
        <v>357</v>
      </c>
      <c r="J29" s="15" t="s">
        <v>253</v>
      </c>
      <c r="K29" s="15" t="s">
        <v>148</v>
      </c>
      <c r="L29" s="16" t="s">
        <v>268</v>
      </c>
      <c r="M29" s="16" t="s">
        <v>269</v>
      </c>
      <c r="N29" s="15" t="s">
        <v>270</v>
      </c>
      <c r="O29" s="15" t="s">
        <v>396</v>
      </c>
    </row>
    <row r="30" spans="1:15" ht="15.75" customHeight="1" x14ac:dyDescent="0.25">
      <c r="A30" s="15" t="s">
        <v>353</v>
      </c>
      <c r="B30" s="15" t="s">
        <v>352</v>
      </c>
      <c r="C30" s="15">
        <v>100578875</v>
      </c>
      <c r="D30" s="15" t="s">
        <v>259</v>
      </c>
      <c r="E30" s="15" t="s">
        <v>248</v>
      </c>
      <c r="F30" s="15" t="s">
        <v>212</v>
      </c>
      <c r="G30" s="15" t="s">
        <v>213</v>
      </c>
      <c r="H30" s="15" t="s">
        <v>249</v>
      </c>
      <c r="I30" s="15" t="s">
        <v>356</v>
      </c>
      <c r="J30" s="15" t="s">
        <v>253</v>
      </c>
      <c r="K30" s="15" t="s">
        <v>148</v>
      </c>
      <c r="L30" s="16" t="s">
        <v>260</v>
      </c>
      <c r="M30" s="16" t="s">
        <v>261</v>
      </c>
      <c r="N30" s="15" t="s">
        <v>264</v>
      </c>
      <c r="O30" s="15" t="s">
        <v>396</v>
      </c>
    </row>
    <row r="31" spans="1:15" ht="15.75" customHeight="1" x14ac:dyDescent="0.25">
      <c r="A31" s="15" t="s">
        <v>359</v>
      </c>
      <c r="B31" s="15" t="s">
        <v>358</v>
      </c>
      <c r="C31" s="15">
        <v>100656809</v>
      </c>
      <c r="D31" s="15" t="s">
        <v>273</v>
      </c>
      <c r="E31" s="15" t="s">
        <v>274</v>
      </c>
      <c r="F31" s="15" t="s">
        <v>86</v>
      </c>
      <c r="G31" s="15" t="s">
        <v>275</v>
      </c>
      <c r="H31" s="15" t="s">
        <v>276</v>
      </c>
      <c r="I31" s="15" t="s">
        <v>360</v>
      </c>
      <c r="J31" s="15" t="s">
        <v>283</v>
      </c>
      <c r="K31" s="15" t="s">
        <v>148</v>
      </c>
      <c r="L31" s="16" t="s">
        <v>277</v>
      </c>
      <c r="M31" s="16" t="s">
        <v>278</v>
      </c>
      <c r="N31" s="15" t="s">
        <v>284</v>
      </c>
      <c r="O31" s="15" t="s">
        <v>389</v>
      </c>
    </row>
    <row r="32" spans="1:15" ht="15" x14ac:dyDescent="0.25">
      <c r="A32" s="15" t="s">
        <v>362</v>
      </c>
      <c r="B32" s="15" t="s">
        <v>361</v>
      </c>
      <c r="C32" s="15">
        <v>100656795</v>
      </c>
      <c r="D32" s="15" t="s">
        <v>285</v>
      </c>
      <c r="E32" s="15" t="s">
        <v>286</v>
      </c>
      <c r="F32" s="15" t="s">
        <v>86</v>
      </c>
      <c r="G32" s="15" t="s">
        <v>275</v>
      </c>
      <c r="H32" s="15" t="s">
        <v>287</v>
      </c>
      <c r="I32" s="15" t="s">
        <v>360</v>
      </c>
      <c r="J32" s="15" t="s">
        <v>221</v>
      </c>
      <c r="K32" s="15" t="s">
        <v>148</v>
      </c>
      <c r="L32" s="16" t="s">
        <v>288</v>
      </c>
      <c r="M32" s="16" t="s">
        <v>289</v>
      </c>
      <c r="N32" s="15" t="s">
        <v>290</v>
      </c>
      <c r="O32" s="15" t="s">
        <v>389</v>
      </c>
    </row>
    <row r="33" spans="1:15" ht="15" x14ac:dyDescent="0.25">
      <c r="A33" s="15" t="s">
        <v>364</v>
      </c>
      <c r="B33" s="15" t="s">
        <v>363</v>
      </c>
      <c r="C33" s="15">
        <v>100657244</v>
      </c>
      <c r="D33" s="15" t="s">
        <v>291</v>
      </c>
      <c r="E33" s="15" t="s">
        <v>292</v>
      </c>
      <c r="F33" s="15" t="s">
        <v>86</v>
      </c>
      <c r="G33" s="15" t="s">
        <v>275</v>
      </c>
      <c r="H33" s="15" t="s">
        <v>293</v>
      </c>
      <c r="I33" s="15" t="s">
        <v>360</v>
      </c>
      <c r="J33" s="15" t="s">
        <v>283</v>
      </c>
      <c r="K33" s="15" t="s">
        <v>148</v>
      </c>
      <c r="L33" s="16" t="s">
        <v>294</v>
      </c>
      <c r="M33" s="16" t="s">
        <v>295</v>
      </c>
      <c r="O33" s="15" t="s">
        <v>389</v>
      </c>
    </row>
    <row r="34" spans="1:15" ht="12.75" x14ac:dyDescent="0.2"/>
    <row r="35" spans="1:15" ht="12.75" x14ac:dyDescent="0.2"/>
    <row r="36" spans="1:15" ht="12.75" x14ac:dyDescent="0.2"/>
    <row r="37" spans="1:15" ht="12.75" x14ac:dyDescent="0.2"/>
    <row r="38" spans="1:15" ht="12.75" x14ac:dyDescent="0.2"/>
    <row r="39" spans="1:15" ht="12.75" x14ac:dyDescent="0.2"/>
    <row r="40" spans="1:15" ht="12.75" x14ac:dyDescent="0.2"/>
    <row r="41" spans="1:15" ht="12.75" x14ac:dyDescent="0.2"/>
    <row r="42" spans="1:15" ht="12.75" x14ac:dyDescent="0.2"/>
    <row r="43" spans="1:15" ht="12.75" x14ac:dyDescent="0.2"/>
    <row r="44" spans="1:15" ht="12.75" x14ac:dyDescent="0.2"/>
    <row r="45" spans="1:15" ht="12.75" x14ac:dyDescent="0.2"/>
    <row r="46" spans="1:15" ht="12.75" x14ac:dyDescent="0.2"/>
    <row r="47" spans="1:15" ht="12.75" x14ac:dyDescent="0.2"/>
    <row r="48" spans="1:15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hyperlinks>
    <hyperlink ref="L2" r:id="rId1" xr:uid="{00000000-0004-0000-0800-000000000000}"/>
    <hyperlink ref="M2" r:id="rId2" xr:uid="{00000000-0004-0000-0800-000001000000}"/>
    <hyperlink ref="L3" r:id="rId3" xr:uid="{00000000-0004-0000-0800-000002000000}"/>
    <hyperlink ref="M3" r:id="rId4" xr:uid="{00000000-0004-0000-0800-000003000000}"/>
    <hyperlink ref="L4" r:id="rId5" xr:uid="{00000000-0004-0000-0800-000004000000}"/>
    <hyperlink ref="M4" r:id="rId6" xr:uid="{00000000-0004-0000-0800-000005000000}"/>
    <hyperlink ref="L5" r:id="rId7" xr:uid="{00000000-0004-0000-0800-000006000000}"/>
    <hyperlink ref="M5" r:id="rId8" xr:uid="{00000000-0004-0000-0800-000007000000}"/>
    <hyperlink ref="L6" r:id="rId9" xr:uid="{00000000-0004-0000-0800-000008000000}"/>
    <hyperlink ref="M6" r:id="rId10" xr:uid="{00000000-0004-0000-0800-000009000000}"/>
    <hyperlink ref="L7" r:id="rId11" xr:uid="{00000000-0004-0000-0800-00000A000000}"/>
    <hyperlink ref="M7" r:id="rId12" xr:uid="{00000000-0004-0000-0800-00000B000000}"/>
    <hyperlink ref="M8" r:id="rId13" xr:uid="{00000000-0004-0000-0800-00000C000000}"/>
    <hyperlink ref="M9" r:id="rId14" xr:uid="{00000000-0004-0000-0800-00000D000000}"/>
    <hyperlink ref="M10" r:id="rId15" xr:uid="{00000000-0004-0000-0800-00000E000000}"/>
    <hyperlink ref="L11" r:id="rId16" xr:uid="{00000000-0004-0000-0800-00000F000000}"/>
    <hyperlink ref="M11" r:id="rId17" xr:uid="{00000000-0004-0000-0800-000010000000}"/>
    <hyperlink ref="L12" r:id="rId18" xr:uid="{00000000-0004-0000-0800-000011000000}"/>
    <hyperlink ref="M12" r:id="rId19" xr:uid="{00000000-0004-0000-0800-000012000000}"/>
    <hyperlink ref="L13" r:id="rId20" xr:uid="{00000000-0004-0000-0800-000013000000}"/>
    <hyperlink ref="M13" r:id="rId21" xr:uid="{00000000-0004-0000-0800-000014000000}"/>
    <hyperlink ref="L14" r:id="rId22" xr:uid="{00000000-0004-0000-0800-000015000000}"/>
    <hyperlink ref="M14" r:id="rId23" xr:uid="{00000000-0004-0000-0800-000016000000}"/>
    <hyperlink ref="L15" r:id="rId24" xr:uid="{00000000-0004-0000-0800-000017000000}"/>
    <hyperlink ref="M15" r:id="rId25" xr:uid="{00000000-0004-0000-0800-000018000000}"/>
    <hyperlink ref="L16" r:id="rId26" xr:uid="{00000000-0004-0000-0800-000019000000}"/>
    <hyperlink ref="M16" r:id="rId27" xr:uid="{00000000-0004-0000-0800-00001A000000}"/>
    <hyperlink ref="L17" r:id="rId28" xr:uid="{00000000-0004-0000-0800-00001B000000}"/>
    <hyperlink ref="M17" r:id="rId29" xr:uid="{00000000-0004-0000-0800-00001C000000}"/>
    <hyperlink ref="L18" r:id="rId30" xr:uid="{00000000-0004-0000-0800-00001D000000}"/>
    <hyperlink ref="M18" r:id="rId31" xr:uid="{00000000-0004-0000-0800-00001E000000}"/>
    <hyperlink ref="L19" r:id="rId32" xr:uid="{00000000-0004-0000-0800-00001F000000}"/>
    <hyperlink ref="M19" r:id="rId33" xr:uid="{00000000-0004-0000-0800-000020000000}"/>
    <hyperlink ref="L20" r:id="rId34" xr:uid="{00000000-0004-0000-0800-000021000000}"/>
    <hyperlink ref="M20" r:id="rId35" xr:uid="{00000000-0004-0000-0800-000022000000}"/>
    <hyperlink ref="L21" r:id="rId36" xr:uid="{00000000-0004-0000-0800-000023000000}"/>
    <hyperlink ref="M21" r:id="rId37" xr:uid="{00000000-0004-0000-0800-000024000000}"/>
    <hyperlink ref="L22" r:id="rId38" xr:uid="{00000000-0004-0000-0800-000025000000}"/>
    <hyperlink ref="M22" r:id="rId39" xr:uid="{00000000-0004-0000-0800-000026000000}"/>
    <hyperlink ref="L23" r:id="rId40" xr:uid="{00000000-0004-0000-0800-000027000000}"/>
    <hyperlink ref="M23" r:id="rId41" xr:uid="{00000000-0004-0000-0800-000028000000}"/>
    <hyperlink ref="L24" r:id="rId42" xr:uid="{00000000-0004-0000-0800-000029000000}"/>
    <hyperlink ref="M24" r:id="rId43" xr:uid="{00000000-0004-0000-0800-00002A000000}"/>
    <hyperlink ref="L25" r:id="rId44" xr:uid="{00000000-0004-0000-0800-00002B000000}"/>
    <hyperlink ref="M25" r:id="rId45" xr:uid="{00000000-0004-0000-0800-00002C000000}"/>
    <hyperlink ref="L26" r:id="rId46" xr:uid="{00000000-0004-0000-0800-00002D000000}"/>
    <hyperlink ref="M26" r:id="rId47" xr:uid="{00000000-0004-0000-0800-00002E000000}"/>
    <hyperlink ref="L27" r:id="rId48" xr:uid="{00000000-0004-0000-0800-00002F000000}"/>
    <hyperlink ref="M27" r:id="rId49" xr:uid="{00000000-0004-0000-0800-000030000000}"/>
    <hyperlink ref="L28" r:id="rId50" xr:uid="{00000000-0004-0000-0800-000031000000}"/>
    <hyperlink ref="M28" r:id="rId51" xr:uid="{00000000-0004-0000-0800-000032000000}"/>
    <hyperlink ref="L29" r:id="rId52" xr:uid="{00000000-0004-0000-0800-000033000000}"/>
    <hyperlink ref="M29" r:id="rId53" xr:uid="{00000000-0004-0000-0800-000034000000}"/>
    <hyperlink ref="L30" r:id="rId54" xr:uid="{00000000-0004-0000-0800-000035000000}"/>
    <hyperlink ref="M30" r:id="rId55" xr:uid="{00000000-0004-0000-0800-000036000000}"/>
    <hyperlink ref="L31" r:id="rId56" xr:uid="{00000000-0004-0000-0800-000037000000}"/>
    <hyperlink ref="M31" r:id="rId57" xr:uid="{00000000-0004-0000-0800-000038000000}"/>
    <hyperlink ref="L32" r:id="rId58" xr:uid="{00000000-0004-0000-0800-000039000000}"/>
    <hyperlink ref="M32" r:id="rId59" xr:uid="{00000000-0004-0000-0800-00003A000000}"/>
    <hyperlink ref="L33" r:id="rId60" xr:uid="{00000000-0004-0000-0800-00003B000000}"/>
    <hyperlink ref="M33" r:id="rId61" xr:uid="{00000000-0004-0000-0800-00003C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Client Data Order</vt:lpstr>
      <vt:lpstr>Sheet4</vt:lpstr>
      <vt:lpstr>Summary &amp;  Questions</vt:lpstr>
      <vt:lpstr>3D Order</vt:lpstr>
      <vt:lpstr>Client Data Order (1)</vt:lpstr>
      <vt:lpstr>Summary &amp; Questions</vt:lpstr>
      <vt:lpstr>Mesh Summary</vt:lpstr>
      <vt:lpstr>Materials</vt:lpstr>
      <vt:lpstr>3D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Shrivastav</cp:lastModifiedBy>
  <dcterms:modified xsi:type="dcterms:W3CDTF">2026-01-19T18:39:53Z</dcterms:modified>
</cp:coreProperties>
</file>